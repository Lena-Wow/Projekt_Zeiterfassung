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awrDATEN\lena\DATA SCIENCE INSTITUTE\Projekt_Zeiterfassung\"/>
    </mc:Choice>
  </mc:AlternateContent>
  <xr:revisionPtr revIDLastSave="0" documentId="8_{FC565089-365C-4FF3-9036-24030E52A212}" xr6:coauthVersionLast="47" xr6:coauthVersionMax="47" xr10:uidLastSave="{00000000-0000-0000-0000-000000000000}"/>
  <bookViews>
    <workbookView xWindow="-103" yWindow="-103" windowWidth="16663" windowHeight="8743" firstSheet="2" activeTab="4" xr2:uid="{00000000-000D-0000-FFFF-FFFF00000000}"/>
  </bookViews>
  <sheets>
    <sheet name="__lists__" sheetId="1" state="hidden" r:id="rId1"/>
    <sheet name="Januar" sheetId="2" r:id="rId2"/>
    <sheet name="Oktober" sheetId="11" r:id="rId3"/>
    <sheet name="Tabelle1" sheetId="16" r:id="rId4"/>
    <sheet name="November" sheetId="15" r:id="rId5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15" l="1"/>
  <c r="H37" i="15"/>
  <c r="H38" i="15"/>
  <c r="H39" i="15"/>
  <c r="H35" i="15"/>
  <c r="H34" i="15"/>
  <c r="H33" i="15"/>
  <c r="H32" i="15"/>
  <c r="H26" i="15"/>
  <c r="H27" i="15"/>
  <c r="H31" i="15"/>
  <c r="H30" i="15"/>
  <c r="H29" i="15"/>
  <c r="H28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31" i="2" l="1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2" i="11"/>
  <c r="H3" i="11"/>
  <c r="H9" i="11"/>
  <c r="H4" i="11"/>
  <c r="H5" i="11"/>
  <c r="H6" i="11"/>
  <c r="H7" i="11"/>
  <c r="H8" i="11"/>
  <c r="H10" i="11"/>
  <c r="H11" i="11"/>
  <c r="H12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K2" i="11" l="1"/>
</calcChain>
</file>

<file path=xl/sharedStrings.xml><?xml version="1.0" encoding="utf-8"?>
<sst xmlns="http://schemas.openxmlformats.org/spreadsheetml/2006/main" count="468" uniqueCount="55">
  <si>
    <t>Lernart</t>
  </si>
  <si>
    <t>Kursname</t>
  </si>
  <si>
    <t>Theorie (Video)</t>
  </si>
  <si>
    <t>Kurs A – Data Science</t>
  </si>
  <si>
    <t>Live-Call</t>
  </si>
  <si>
    <t>Kurs B – Scrum</t>
  </si>
  <si>
    <t>Selbststudium</t>
  </si>
  <si>
    <t>Datum</t>
  </si>
  <si>
    <t>Wochentag</t>
  </si>
  <si>
    <t>Thema / Inhalt</t>
  </si>
  <si>
    <t>Startzeit</t>
  </si>
  <si>
    <t>Endzeit</t>
  </si>
  <si>
    <t>Dauer (h)</t>
  </si>
  <si>
    <t>Lernmodus / Quelle</t>
  </si>
  <si>
    <t>Notizen</t>
  </si>
  <si>
    <t>EDA</t>
  </si>
  <si>
    <t>PROJEKT</t>
  </si>
  <si>
    <t>Zeiterfassung</t>
  </si>
  <si>
    <t>Excel</t>
  </si>
  <si>
    <t>Donnerstag</t>
  </si>
  <si>
    <t>Mittwoch</t>
  </si>
  <si>
    <t>MIttwoch</t>
  </si>
  <si>
    <t>ScrumPO</t>
  </si>
  <si>
    <t>Prüfungvorbereitung</t>
  </si>
  <si>
    <t>Samstag</t>
  </si>
  <si>
    <t>Sonntag</t>
  </si>
  <si>
    <t>Dienstag</t>
  </si>
  <si>
    <t>Montag</t>
  </si>
  <si>
    <t>Freitag</t>
  </si>
  <si>
    <t>Udemy</t>
  </si>
  <si>
    <t>EXCEL</t>
  </si>
  <si>
    <t>Live-Call-Hausaufgaben</t>
  </si>
  <si>
    <t>DSI</t>
  </si>
  <si>
    <t>Hausaufgaben</t>
  </si>
  <si>
    <t>Live-Call-Vorlesung</t>
  </si>
  <si>
    <t>Hören/Sehen</t>
  </si>
  <si>
    <t>Live-Teilnehmen</t>
  </si>
  <si>
    <t>Python, Streamlit, GPT</t>
  </si>
  <si>
    <t>Python, GPT, GitHub</t>
  </si>
  <si>
    <t>Sontag</t>
  </si>
  <si>
    <t>Prüfungsvorbereitung</t>
  </si>
  <si>
    <t>ETL</t>
  </si>
  <si>
    <t>monatsstunden</t>
  </si>
  <si>
    <t>Prüfung</t>
  </si>
  <si>
    <t>Scrum</t>
  </si>
  <si>
    <t>PowerBI</t>
  </si>
  <si>
    <t>Stepik</t>
  </si>
  <si>
    <t>PowerBI, GPT</t>
  </si>
  <si>
    <t>Lehrer</t>
  </si>
  <si>
    <t>Projekt Olympia</t>
  </si>
  <si>
    <t>Projekt Zeiterfassung</t>
  </si>
  <si>
    <t>Hören/sehen</t>
  </si>
  <si>
    <t>Lernen</t>
  </si>
  <si>
    <t>AWS</t>
  </si>
  <si>
    <t>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</si>
</sst>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2" borderId="1" xfId="0" applyFill="1" applyBorder="1"/>
    <xf numFmtId="0" fontId="0" fillId="2" borderId="2" xfId="0" applyFill="1" applyBorder="1"/>
    <xf numFmtId="0" fontId="0" fillId="3" borderId="2" xfId="0" applyFill="1" applyBorder="1"/>
    <xf numFmtId="20" fontId="0" fillId="2" borderId="1" xfId="0" applyNumberFormat="1" applyFill="1" applyBorder="1"/>
    <xf numFmtId="0" fontId="0" fillId="3" borderId="1" xfId="0" applyFill="1" applyBorder="1"/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2" fontId="0" fillId="2" borderId="1" xfId="0" applyNumberFormat="1" applyFill="1" applyBorder="1"/>
    <xf numFmtId="20" fontId="0" fillId="3" borderId="1" xfId="0" applyNumberFormat="1" applyFill="1" applyBorder="1"/>
    <xf numFmtId="2" fontId="0" fillId="3" borderId="1" xfId="0" applyNumberFormat="1" applyFill="1" applyBorder="1"/>
    <xf numFmtId="0" fontId="3" fillId="0" borderId="0" xfId="0" applyFont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14" fontId="2" fillId="0" borderId="3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0" fillId="0" borderId="1" xfId="0" applyFill="1" applyBorder="1"/>
    <xf numFmtId="20" fontId="0" fillId="0" borderId="1" xfId="0" applyNumberFormat="1" applyFill="1" applyBorder="1"/>
    <xf numFmtId="2" fontId="0" fillId="0" borderId="1" xfId="0" applyNumberFormat="1" applyFill="1" applyBorder="1"/>
    <xf numFmtId="0" fontId="0" fillId="0" borderId="8" xfId="0" applyFill="1" applyBorder="1"/>
    <xf numFmtId="0" fontId="4" fillId="0" borderId="1" xfId="0" applyFont="1" applyFill="1" applyBorder="1"/>
    <xf numFmtId="14" fontId="0" fillId="0" borderId="0" xfId="0" applyNumberFormat="1" applyFill="1"/>
    <xf numFmtId="0" fontId="0" fillId="0" borderId="6" xfId="0" applyFill="1" applyBorder="1"/>
    <xf numFmtId="20" fontId="0" fillId="0" borderId="0" xfId="0" applyNumberFormat="1" applyFill="1"/>
    <xf numFmtId="2" fontId="0" fillId="0" borderId="0" xfId="0" applyNumberFormat="1" applyFill="1"/>
    <xf numFmtId="0" fontId="0" fillId="0" borderId="9" xfId="0" applyFill="1" applyBorder="1"/>
    <xf numFmtId="14" fontId="0" fillId="0" borderId="0" xfId="0" applyNumberFormat="1" applyFill="1" applyBorder="1"/>
    <xf numFmtId="0" fontId="0" fillId="0" borderId="0" xfId="0" applyFill="1" applyBorder="1"/>
    <xf numFmtId="0" fontId="0" fillId="0" borderId="2" xfId="0" applyFill="1" applyBorder="1"/>
    <xf numFmtId="20" fontId="0" fillId="0" borderId="0" xfId="0" applyNumberFormat="1" applyFill="1" applyBorder="1"/>
    <xf numFmtId="2" fontId="0" fillId="0" borderId="0" xfId="0" applyNumberFormat="1" applyFill="1" applyBorder="1"/>
  </cellXfs>
  <cellStyles count="1">
    <cellStyle name="Standard" xfId="0" builtinId="0"/>
  </cellStyles>
  <dxfs count="19"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/>
        <bottom/>
      </border>
    </dxf>
    <dxf>
      <numFmt numFmtId="2" formatCode="0.00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border outline="0">
        <right style="thin">
          <color theme="0"/>
        </right>
      </border>
    </dxf>
    <dxf>
      <numFmt numFmtId="2" formatCode="0.00"/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D17333-AF1D-4D42-B1C9-307E2860B52E}" name="Tabelle1" displayName="Tabelle1" ref="A1:K50" totalsRowShown="0" headerRowDxfId="18">
  <autoFilter ref="A1:K50" xr:uid="{A9D17333-AF1D-4D42-B1C9-307E2860B52E}"/>
  <tableColumns count="11">
    <tableColumn id="1" xr3:uid="{DD8E3D21-BE58-43DC-B3CA-87207A79C56C}" name="Datum" dataDxfId="17"/>
    <tableColumn id="2" xr3:uid="{FB7B1679-0F3F-4B83-B14A-7F4D85E40E54}" name="Wochentag"/>
    <tableColumn id="3" xr3:uid="{0844FD17-3EC4-4ACC-99FB-9AAEAA3CE364}" name="Kursname"/>
    <tableColumn id="4" xr3:uid="{8D6F3F1E-FC2A-4461-9145-8BB38F94B4E9}" name="Lernart"/>
    <tableColumn id="5" xr3:uid="{3828DA2F-6134-4411-94B0-6A430C3FB0B2}" name="Thema / Inhalt"/>
    <tableColumn id="6" xr3:uid="{A73614C9-4D2D-4921-9D42-08876597DDDD}" name="Startzeit" dataDxfId="16"/>
    <tableColumn id="7" xr3:uid="{73F60311-A8FA-4B63-9B8C-F88549FE36F0}" name="Endzeit" dataDxfId="15"/>
    <tableColumn id="8" xr3:uid="{FC34EA82-DB55-4002-B44E-B49827716330}" name="Dauer (h)" dataDxfId="14">
      <calculatedColumnFormula>IF(AND(F2&lt;&gt;"",G2&lt;&gt;""),(G2-F2)*24,"")</calculatedColumnFormula>
    </tableColumn>
    <tableColumn id="9" xr3:uid="{758E8116-C9CE-42C8-B385-7BD71BDE77E6}" name="Lernmodus / Quelle"/>
    <tableColumn id="10" xr3:uid="{FCDBD66B-AA88-4651-B54E-C96A0FBB68A9}" name="Lehrer"/>
    <tableColumn id="11" xr3:uid="{3B5D11D0-5676-4542-8C36-09A83F6AEE67}" name="monatsstunden" dataDxfId="13">
      <calculatedColumnFormula>SUM(H2:H50)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D073E-87EF-44C3-8478-BA3DAE94DECC}" name="Tabelle2" displayName="Tabelle2" ref="A1:I39" totalsRowShown="0" headerRowDxfId="1" dataDxfId="0" headerRowBorderDxfId="11" tableBorderDxfId="12">
  <autoFilter ref="A1:I39" xr:uid="{CD6D073E-87EF-44C3-8478-BA3DAE94DECC}"/>
  <tableColumns count="9">
    <tableColumn id="1" xr3:uid="{6FC2882E-887F-4DC7-B93C-BCBE444F61C0}" name="Datum" dataDxfId="10"/>
    <tableColumn id="2" xr3:uid="{E7B7A5F4-58B9-4C46-B90F-BBE4D58483AD}" name="Wochentag" dataDxfId="9"/>
    <tableColumn id="3" xr3:uid="{DD38FFD5-4410-453A-BF2E-EB91BF974B44}" name="Kursname" dataDxfId="8"/>
    <tableColumn id="4" xr3:uid="{A8D42286-13BD-4954-B5C7-A254C8A539C0}" name="Lernart" dataDxfId="7"/>
    <tableColumn id="5" xr3:uid="{7A3799C0-DDF0-4860-81B3-A0942A10D373}" name="Thema / Inhalt" dataDxfId="6"/>
    <tableColumn id="6" xr3:uid="{4C021B4E-90C8-4127-8BB8-6D02ECA267A8}" name="Startzeit" dataDxfId="5"/>
    <tableColumn id="7" xr3:uid="{7EFF7A62-E860-4BD6-B85A-1D96369A5A46}" name="Endzeit" dataDxfId="4"/>
    <tableColumn id="8" xr3:uid="{D56FC4E9-C562-4B0C-BE3C-01581B225196}" name="Dauer (h)" dataDxfId="3">
      <calculatedColumnFormula>IF(AND(F2&lt;&gt;"",G2&lt;&gt;""),(G2-F2)*24,"")</calculatedColumnFormula>
    </tableColumn>
    <tableColumn id="9" xr3:uid="{0FA001AE-F7C7-40AE-BD37-9903487941D3}" name="Lernmodus / Quelle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4"/>
  <sheetViews>
    <sheetView workbookViewId="0"/>
  </sheetViews>
  <sheetFormatPr baseColWidth="10" defaultColWidth="9.23046875" defaultRowHeight="14.6" x14ac:dyDescent="0.4"/>
  <sheetData>
    <row r="1" spans="1:2" x14ac:dyDescent="0.4">
      <c r="A1" t="s">
        <v>0</v>
      </c>
      <c r="B1" t="s">
        <v>1</v>
      </c>
    </row>
    <row r="2" spans="1:2" x14ac:dyDescent="0.4">
      <c r="A2" t="s">
        <v>2</v>
      </c>
      <c r="B2" t="s">
        <v>3</v>
      </c>
    </row>
    <row r="3" spans="1:2" x14ac:dyDescent="0.4">
      <c r="A3" t="s">
        <v>4</v>
      </c>
      <c r="B3" t="s">
        <v>5</v>
      </c>
    </row>
    <row r="4" spans="1:2" x14ac:dyDescent="0.4">
      <c r="A4" t="s">
        <v>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201"/>
  <sheetViews>
    <sheetView topLeftCell="A20" workbookViewId="0">
      <selection activeCell="A2" sqref="A2:A32"/>
    </sheetView>
  </sheetViews>
  <sheetFormatPr baseColWidth="10" defaultColWidth="9.23046875" defaultRowHeight="14.6" x14ac:dyDescent="0.4"/>
  <cols>
    <col min="1" max="10" width="22" customWidth="1"/>
  </cols>
  <sheetData>
    <row r="1" spans="1:10" ht="15" thickBot="1" x14ac:dyDescent="0.45">
      <c r="A1" s="13" t="s">
        <v>7</v>
      </c>
      <c r="B1" s="14" t="s">
        <v>8</v>
      </c>
      <c r="C1" s="14" t="s">
        <v>1</v>
      </c>
      <c r="D1" s="14" t="s">
        <v>0</v>
      </c>
      <c r="E1" s="14" t="s">
        <v>9</v>
      </c>
      <c r="F1" s="14" t="s">
        <v>10</v>
      </c>
      <c r="G1" s="14" t="s">
        <v>11</v>
      </c>
      <c r="H1" s="14" t="s">
        <v>12</v>
      </c>
      <c r="I1" s="14" t="s">
        <v>13</v>
      </c>
      <c r="J1" s="1" t="s">
        <v>14</v>
      </c>
    </row>
    <row r="2" spans="1:10" ht="15" thickTop="1" x14ac:dyDescent="0.4">
      <c r="A2" s="15">
        <v>46023</v>
      </c>
      <c r="B2" s="16"/>
      <c r="C2" s="8"/>
      <c r="D2" s="8"/>
      <c r="E2" s="8"/>
      <c r="F2" s="11"/>
      <c r="G2" s="11">
        <v>0.66666666666666663</v>
      </c>
      <c r="H2" s="17" t="str">
        <f t="shared" ref="H2:H31" si="0">IF(AND(F2&lt;&gt;"",G2&lt;&gt;""),(G2-F2)*24,"")</f>
        <v/>
      </c>
      <c r="I2" s="8" t="s">
        <v>32</v>
      </c>
    </row>
    <row r="3" spans="1:10" x14ac:dyDescent="0.4">
      <c r="A3" s="15">
        <v>46024</v>
      </c>
      <c r="B3" s="12"/>
      <c r="C3" s="12"/>
      <c r="D3" s="12"/>
      <c r="E3" s="12"/>
      <c r="F3" s="18"/>
      <c r="G3" s="18">
        <v>0.5</v>
      </c>
      <c r="H3" s="19" t="str">
        <f t="shared" si="0"/>
        <v/>
      </c>
      <c r="I3" s="12" t="s">
        <v>47</v>
      </c>
    </row>
    <row r="4" spans="1:10" x14ac:dyDescent="0.4">
      <c r="A4" s="15">
        <v>46025</v>
      </c>
      <c r="B4" s="8"/>
      <c r="C4" s="8"/>
      <c r="D4" s="8"/>
      <c r="E4" s="8"/>
      <c r="F4" s="11"/>
      <c r="G4" s="11"/>
      <c r="H4" s="17" t="str">
        <f t="shared" si="0"/>
        <v/>
      </c>
      <c r="I4" s="8"/>
    </row>
    <row r="5" spans="1:10" x14ac:dyDescent="0.4">
      <c r="A5" s="15">
        <v>46026</v>
      </c>
      <c r="B5" s="12"/>
      <c r="C5" s="12"/>
      <c r="D5" s="12"/>
      <c r="E5" s="12"/>
      <c r="F5" s="18"/>
      <c r="G5" s="18"/>
      <c r="H5" s="19" t="str">
        <f t="shared" si="0"/>
        <v/>
      </c>
      <c r="I5" s="12"/>
    </row>
    <row r="6" spans="1:10" x14ac:dyDescent="0.4">
      <c r="A6" s="15">
        <v>46027</v>
      </c>
      <c r="B6" s="8"/>
      <c r="C6" s="8"/>
      <c r="D6" s="8"/>
      <c r="E6" s="8"/>
      <c r="F6" s="11"/>
      <c r="G6" s="11"/>
      <c r="H6" s="17" t="str">
        <f t="shared" si="0"/>
        <v/>
      </c>
      <c r="I6" s="8"/>
    </row>
    <row r="7" spans="1:10" x14ac:dyDescent="0.4">
      <c r="A7" s="15">
        <v>46028</v>
      </c>
      <c r="B7" s="12"/>
      <c r="C7" s="12"/>
      <c r="D7" s="12"/>
      <c r="E7" s="12"/>
      <c r="F7" s="18"/>
      <c r="G7" s="18"/>
      <c r="H7" s="19" t="str">
        <f t="shared" si="0"/>
        <v/>
      </c>
      <c r="I7" s="12"/>
    </row>
    <row r="8" spans="1:10" x14ac:dyDescent="0.4">
      <c r="A8" s="15">
        <v>46029</v>
      </c>
      <c r="B8" s="8"/>
      <c r="C8" s="8"/>
      <c r="D8" s="8"/>
      <c r="E8" s="8"/>
      <c r="F8" s="11"/>
      <c r="G8" s="11"/>
      <c r="H8" s="17" t="str">
        <f t="shared" si="0"/>
        <v/>
      </c>
      <c r="I8" s="8"/>
    </row>
    <row r="9" spans="1:10" x14ac:dyDescent="0.4">
      <c r="A9" s="15">
        <v>46030</v>
      </c>
      <c r="B9" s="12"/>
      <c r="C9" s="12"/>
      <c r="D9" s="12"/>
      <c r="E9" s="12"/>
      <c r="F9" s="18"/>
      <c r="G9" s="18"/>
      <c r="H9" s="19" t="str">
        <f t="shared" si="0"/>
        <v/>
      </c>
      <c r="I9" s="12"/>
    </row>
    <row r="10" spans="1:10" x14ac:dyDescent="0.4">
      <c r="A10" s="15">
        <v>46031</v>
      </c>
      <c r="B10" s="8"/>
      <c r="C10" s="8"/>
      <c r="D10" s="8"/>
      <c r="E10" s="8"/>
      <c r="F10" s="11"/>
      <c r="G10" s="11"/>
      <c r="H10" s="17" t="str">
        <f t="shared" si="0"/>
        <v/>
      </c>
      <c r="I10" s="8"/>
    </row>
    <row r="11" spans="1:10" x14ac:dyDescent="0.4">
      <c r="A11" s="15">
        <v>46032</v>
      </c>
      <c r="B11" s="12"/>
      <c r="C11" s="12"/>
      <c r="D11" s="12"/>
      <c r="E11" s="12"/>
      <c r="F11" s="18"/>
      <c r="G11" s="18"/>
      <c r="H11" s="19" t="str">
        <f t="shared" si="0"/>
        <v/>
      </c>
      <c r="I11" s="12"/>
    </row>
    <row r="12" spans="1:10" x14ac:dyDescent="0.4">
      <c r="A12" s="15">
        <v>46033</v>
      </c>
      <c r="B12" s="8"/>
      <c r="C12" s="8"/>
      <c r="D12" s="8"/>
      <c r="E12" s="8"/>
      <c r="F12" s="11"/>
      <c r="G12" s="11"/>
      <c r="H12" s="17" t="str">
        <f t="shared" si="0"/>
        <v/>
      </c>
      <c r="I12" s="8"/>
    </row>
    <row r="13" spans="1:10" x14ac:dyDescent="0.4">
      <c r="A13" s="15">
        <v>46034</v>
      </c>
      <c r="B13" s="12"/>
      <c r="C13" s="12"/>
      <c r="D13" s="12"/>
      <c r="E13" s="12"/>
      <c r="F13" s="18"/>
      <c r="G13" s="18"/>
      <c r="H13" s="19" t="str">
        <f t="shared" si="0"/>
        <v/>
      </c>
      <c r="I13" s="12"/>
    </row>
    <row r="14" spans="1:10" x14ac:dyDescent="0.4">
      <c r="A14" s="15">
        <v>46035</v>
      </c>
      <c r="B14" s="8"/>
      <c r="C14" s="8"/>
      <c r="D14" s="8"/>
      <c r="E14" s="8"/>
      <c r="F14" s="11"/>
      <c r="G14" s="11"/>
      <c r="H14" s="17" t="str">
        <f t="shared" si="0"/>
        <v/>
      </c>
      <c r="I14" s="8"/>
    </row>
    <row r="15" spans="1:10" x14ac:dyDescent="0.4">
      <c r="A15" s="15">
        <v>46036</v>
      </c>
      <c r="B15" s="12"/>
      <c r="C15" s="12"/>
      <c r="D15" s="12"/>
      <c r="E15" s="12"/>
      <c r="F15" s="18"/>
      <c r="G15" s="18"/>
      <c r="H15" s="19" t="str">
        <f t="shared" si="0"/>
        <v/>
      </c>
      <c r="I15" s="12"/>
    </row>
    <row r="16" spans="1:10" x14ac:dyDescent="0.4">
      <c r="A16" s="15">
        <v>46037</v>
      </c>
      <c r="B16" s="8"/>
      <c r="C16" s="8"/>
      <c r="D16" s="8"/>
      <c r="E16" s="8"/>
      <c r="F16" s="11"/>
      <c r="G16" s="11"/>
      <c r="H16" s="17" t="str">
        <f t="shared" si="0"/>
        <v/>
      </c>
      <c r="I16" s="8"/>
    </row>
    <row r="17" spans="1:9" x14ac:dyDescent="0.4">
      <c r="A17" s="15">
        <v>46038</v>
      </c>
      <c r="B17" s="12"/>
      <c r="C17" s="12"/>
      <c r="D17" s="12"/>
      <c r="E17" s="12"/>
      <c r="F17" s="18"/>
      <c r="G17" s="18"/>
      <c r="H17" s="19" t="str">
        <f t="shared" si="0"/>
        <v/>
      </c>
      <c r="I17" s="12"/>
    </row>
    <row r="18" spans="1:9" x14ac:dyDescent="0.4">
      <c r="A18" s="15">
        <v>46039</v>
      </c>
      <c r="B18" s="8"/>
      <c r="C18" s="8"/>
      <c r="D18" s="8"/>
      <c r="E18" s="8"/>
      <c r="F18" s="11"/>
      <c r="G18" s="11"/>
      <c r="H18" s="17" t="str">
        <f t="shared" si="0"/>
        <v/>
      </c>
      <c r="I18" s="8"/>
    </row>
    <row r="19" spans="1:9" x14ac:dyDescent="0.4">
      <c r="A19" s="15">
        <v>46040</v>
      </c>
      <c r="B19" s="12"/>
      <c r="C19" s="12"/>
      <c r="D19" s="12"/>
      <c r="E19" s="12"/>
      <c r="F19" s="18"/>
      <c r="G19" s="18"/>
      <c r="H19" s="19" t="str">
        <f t="shared" si="0"/>
        <v/>
      </c>
      <c r="I19" s="12"/>
    </row>
    <row r="20" spans="1:9" x14ac:dyDescent="0.4">
      <c r="A20" s="15">
        <v>46041</v>
      </c>
      <c r="B20" s="8"/>
      <c r="C20" s="8"/>
      <c r="D20" s="8"/>
      <c r="E20" s="8"/>
      <c r="F20" s="8"/>
      <c r="G20" s="8"/>
      <c r="H20" s="17" t="str">
        <f t="shared" si="0"/>
        <v/>
      </c>
      <c r="I20" s="8"/>
    </row>
    <row r="21" spans="1:9" x14ac:dyDescent="0.4">
      <c r="A21" s="15">
        <v>46042</v>
      </c>
      <c r="B21" s="12"/>
      <c r="C21" s="12"/>
      <c r="D21" s="12"/>
      <c r="E21" s="12"/>
      <c r="F21" s="12"/>
      <c r="G21" s="12"/>
      <c r="H21" s="19" t="str">
        <f t="shared" si="0"/>
        <v/>
      </c>
      <c r="I21" s="12"/>
    </row>
    <row r="22" spans="1:9" x14ac:dyDescent="0.4">
      <c r="A22" s="15">
        <v>46043</v>
      </c>
      <c r="B22" s="8"/>
      <c r="C22" s="8"/>
      <c r="D22" s="8"/>
      <c r="E22" s="8"/>
      <c r="F22" s="8"/>
      <c r="G22" s="8"/>
      <c r="H22" s="17" t="str">
        <f t="shared" si="0"/>
        <v/>
      </c>
      <c r="I22" s="8"/>
    </row>
    <row r="23" spans="1:9" x14ac:dyDescent="0.4">
      <c r="A23" s="15">
        <v>46044</v>
      </c>
      <c r="B23" s="12"/>
      <c r="C23" s="12"/>
      <c r="D23" s="12"/>
      <c r="E23" s="12"/>
      <c r="F23" s="12"/>
      <c r="G23" s="12"/>
      <c r="H23" s="19" t="str">
        <f t="shared" si="0"/>
        <v/>
      </c>
      <c r="I23" s="12"/>
    </row>
    <row r="24" spans="1:9" x14ac:dyDescent="0.4">
      <c r="A24" s="15">
        <v>46045</v>
      </c>
      <c r="B24" s="8"/>
      <c r="C24" s="8"/>
      <c r="D24" s="8"/>
      <c r="E24" s="8"/>
      <c r="F24" s="8"/>
      <c r="G24" s="8"/>
      <c r="H24" s="17" t="str">
        <f t="shared" si="0"/>
        <v/>
      </c>
      <c r="I24" s="8"/>
    </row>
    <row r="25" spans="1:9" x14ac:dyDescent="0.4">
      <c r="A25" s="15">
        <v>46046</v>
      </c>
      <c r="B25" s="12"/>
      <c r="C25" s="12"/>
      <c r="D25" s="12"/>
      <c r="E25" s="12"/>
      <c r="F25" s="12"/>
      <c r="G25" s="12"/>
      <c r="H25" s="19" t="str">
        <f t="shared" si="0"/>
        <v/>
      </c>
      <c r="I25" s="12"/>
    </row>
    <row r="26" spans="1:9" x14ac:dyDescent="0.4">
      <c r="A26" s="15">
        <v>46047</v>
      </c>
      <c r="B26" s="8"/>
      <c r="C26" s="8"/>
      <c r="D26" s="8"/>
      <c r="E26" s="8"/>
      <c r="F26" s="8"/>
      <c r="G26" s="8"/>
      <c r="H26" s="17" t="str">
        <f t="shared" si="0"/>
        <v/>
      </c>
      <c r="I26" s="8"/>
    </row>
    <row r="27" spans="1:9" x14ac:dyDescent="0.4">
      <c r="A27" s="15">
        <v>46048</v>
      </c>
      <c r="B27" s="12"/>
      <c r="C27" s="12"/>
      <c r="D27" s="12"/>
      <c r="E27" s="12"/>
      <c r="F27" s="12"/>
      <c r="G27" s="12"/>
      <c r="H27" s="19" t="str">
        <f t="shared" si="0"/>
        <v/>
      </c>
      <c r="I27" s="12"/>
    </row>
    <row r="28" spans="1:9" x14ac:dyDescent="0.4">
      <c r="A28" s="15">
        <v>46049</v>
      </c>
      <c r="B28" s="8"/>
      <c r="C28" s="8"/>
      <c r="D28" s="8"/>
      <c r="E28" s="8"/>
      <c r="F28" s="8"/>
      <c r="G28" s="8"/>
      <c r="H28" s="17" t="str">
        <f t="shared" si="0"/>
        <v/>
      </c>
      <c r="I28" s="8"/>
    </row>
    <row r="29" spans="1:9" x14ac:dyDescent="0.4">
      <c r="A29" s="15">
        <v>46050</v>
      </c>
      <c r="B29" s="12"/>
      <c r="C29" s="12"/>
      <c r="D29" s="12"/>
      <c r="E29" s="12"/>
      <c r="F29" s="12"/>
      <c r="G29" s="12"/>
      <c r="H29" s="19" t="str">
        <f t="shared" si="0"/>
        <v/>
      </c>
      <c r="I29" s="12"/>
    </row>
    <row r="30" spans="1:9" x14ac:dyDescent="0.4">
      <c r="A30" s="15">
        <v>46051</v>
      </c>
      <c r="B30" s="8"/>
      <c r="C30" s="8"/>
      <c r="D30" s="8"/>
      <c r="E30" s="8"/>
      <c r="F30" s="8"/>
      <c r="G30" s="8"/>
      <c r="H30" s="17" t="str">
        <f t="shared" si="0"/>
        <v/>
      </c>
      <c r="I30" s="8"/>
    </row>
    <row r="31" spans="1:9" x14ac:dyDescent="0.4">
      <c r="A31" s="15">
        <v>46052</v>
      </c>
      <c r="B31" s="12"/>
      <c r="C31" s="12"/>
      <c r="D31" s="12"/>
      <c r="E31" s="12"/>
      <c r="F31" s="12"/>
      <c r="G31" s="12"/>
      <c r="H31" s="19" t="str">
        <f t="shared" si="0"/>
        <v/>
      </c>
      <c r="I31" s="12"/>
    </row>
    <row r="32" spans="1:9" x14ac:dyDescent="0.4">
      <c r="A32" s="15">
        <v>46053</v>
      </c>
      <c r="F32" s="2"/>
      <c r="G32" s="2"/>
      <c r="H32" s="3" t="str">
        <f t="shared" ref="H32:H33" si="1">IF(AND(F32&lt;&gt;"",G32&lt;&gt;""),(G32-F32)*24,"")</f>
        <v/>
      </c>
    </row>
    <row r="33" spans="6:8" x14ac:dyDescent="0.4">
      <c r="F33" s="2"/>
      <c r="G33" s="2"/>
      <c r="H33" s="3" t="str">
        <f t="shared" si="1"/>
        <v/>
      </c>
    </row>
    <row r="34" spans="6:8" x14ac:dyDescent="0.4">
      <c r="F34" s="2"/>
      <c r="G34" s="2"/>
      <c r="H34" s="3" t="str">
        <f t="shared" ref="H34:H65" si="2">IF(AND(F34&lt;&gt;"",G34&lt;&gt;""),(G34-F34)*24,"")</f>
        <v/>
      </c>
    </row>
    <row r="35" spans="6:8" x14ac:dyDescent="0.4">
      <c r="F35" s="2"/>
      <c r="G35" s="2"/>
      <c r="H35" s="3" t="str">
        <f t="shared" si="2"/>
        <v/>
      </c>
    </row>
    <row r="36" spans="6:8" x14ac:dyDescent="0.4">
      <c r="F36" s="2"/>
      <c r="G36" s="2"/>
      <c r="H36" s="3" t="str">
        <f t="shared" si="2"/>
        <v/>
      </c>
    </row>
    <row r="37" spans="6:8" x14ac:dyDescent="0.4">
      <c r="F37" s="2"/>
      <c r="G37" s="2"/>
      <c r="H37" s="3" t="str">
        <f t="shared" si="2"/>
        <v/>
      </c>
    </row>
    <row r="38" spans="6:8" x14ac:dyDescent="0.4">
      <c r="F38" s="2"/>
      <c r="G38" s="2"/>
      <c r="H38" s="3" t="str">
        <f t="shared" si="2"/>
        <v/>
      </c>
    </row>
    <row r="39" spans="6:8" x14ac:dyDescent="0.4">
      <c r="F39" s="2"/>
      <c r="G39" s="2"/>
      <c r="H39" s="3" t="str">
        <f t="shared" si="2"/>
        <v/>
      </c>
    </row>
    <row r="40" spans="6:8" x14ac:dyDescent="0.4">
      <c r="F40" s="2"/>
      <c r="G40" s="2"/>
      <c r="H40" s="3" t="str">
        <f t="shared" si="2"/>
        <v/>
      </c>
    </row>
    <row r="41" spans="6:8" x14ac:dyDescent="0.4">
      <c r="F41" s="2"/>
      <c r="G41" s="2"/>
      <c r="H41" s="3" t="str">
        <f t="shared" si="2"/>
        <v/>
      </c>
    </row>
    <row r="42" spans="6:8" x14ac:dyDescent="0.4">
      <c r="F42" s="2"/>
      <c r="G42" s="2"/>
      <c r="H42" s="3" t="str">
        <f t="shared" si="2"/>
        <v/>
      </c>
    </row>
    <row r="43" spans="6:8" x14ac:dyDescent="0.4">
      <c r="F43" s="2"/>
      <c r="G43" s="2"/>
      <c r="H43" s="3" t="str">
        <f t="shared" si="2"/>
        <v/>
      </c>
    </row>
    <row r="44" spans="6:8" x14ac:dyDescent="0.4">
      <c r="F44" s="2"/>
      <c r="G44" s="2"/>
      <c r="H44" s="3" t="str">
        <f t="shared" si="2"/>
        <v/>
      </c>
    </row>
    <row r="45" spans="6:8" x14ac:dyDescent="0.4">
      <c r="F45" s="2"/>
      <c r="G45" s="2"/>
      <c r="H45" s="3" t="str">
        <f t="shared" si="2"/>
        <v/>
      </c>
    </row>
    <row r="46" spans="6:8" x14ac:dyDescent="0.4">
      <c r="F46" s="2"/>
      <c r="G46" s="2"/>
      <c r="H46" s="3" t="str">
        <f t="shared" si="2"/>
        <v/>
      </c>
    </row>
    <row r="47" spans="6:8" x14ac:dyDescent="0.4">
      <c r="F47" s="2"/>
      <c r="G47" s="2"/>
      <c r="H47" s="3" t="str">
        <f t="shared" si="2"/>
        <v/>
      </c>
    </row>
    <row r="48" spans="6:8" x14ac:dyDescent="0.4">
      <c r="F48" s="2"/>
      <c r="G48" s="2"/>
      <c r="H48" s="3" t="str">
        <f t="shared" si="2"/>
        <v/>
      </c>
    </row>
    <row r="49" spans="6:8" x14ac:dyDescent="0.4">
      <c r="F49" s="2"/>
      <c r="G49" s="2"/>
      <c r="H49" s="3" t="str">
        <f t="shared" si="2"/>
        <v/>
      </c>
    </row>
    <row r="50" spans="6:8" x14ac:dyDescent="0.4">
      <c r="F50" s="2"/>
      <c r="G50" s="2"/>
      <c r="H50" s="3" t="str">
        <f t="shared" si="2"/>
        <v/>
      </c>
    </row>
    <row r="51" spans="6:8" x14ac:dyDescent="0.4">
      <c r="F51" s="2"/>
      <c r="G51" s="2"/>
      <c r="H51" s="3" t="str">
        <f t="shared" si="2"/>
        <v/>
      </c>
    </row>
    <row r="52" spans="6:8" x14ac:dyDescent="0.4">
      <c r="F52" s="2"/>
      <c r="G52" s="2"/>
      <c r="H52" s="3" t="str">
        <f t="shared" si="2"/>
        <v/>
      </c>
    </row>
    <row r="53" spans="6:8" x14ac:dyDescent="0.4">
      <c r="F53" s="2"/>
      <c r="G53" s="2"/>
      <c r="H53" s="3" t="str">
        <f t="shared" si="2"/>
        <v/>
      </c>
    </row>
    <row r="54" spans="6:8" x14ac:dyDescent="0.4">
      <c r="F54" s="2"/>
      <c r="G54" s="2"/>
      <c r="H54" s="3" t="str">
        <f t="shared" si="2"/>
        <v/>
      </c>
    </row>
    <row r="55" spans="6:8" x14ac:dyDescent="0.4">
      <c r="F55" s="2"/>
      <c r="G55" s="2"/>
      <c r="H55" s="3" t="str">
        <f t="shared" si="2"/>
        <v/>
      </c>
    </row>
    <row r="56" spans="6:8" x14ac:dyDescent="0.4">
      <c r="F56" s="2"/>
      <c r="G56" s="2"/>
      <c r="H56" s="3" t="str">
        <f t="shared" si="2"/>
        <v/>
      </c>
    </row>
    <row r="57" spans="6:8" x14ac:dyDescent="0.4">
      <c r="F57" s="2"/>
      <c r="G57" s="2"/>
      <c r="H57" s="3" t="str">
        <f t="shared" si="2"/>
        <v/>
      </c>
    </row>
    <row r="58" spans="6:8" x14ac:dyDescent="0.4">
      <c r="F58" s="2"/>
      <c r="G58" s="2"/>
      <c r="H58" s="3" t="str">
        <f t="shared" si="2"/>
        <v/>
      </c>
    </row>
    <row r="59" spans="6:8" x14ac:dyDescent="0.4">
      <c r="F59" s="2"/>
      <c r="G59" s="2"/>
      <c r="H59" s="3" t="str">
        <f t="shared" si="2"/>
        <v/>
      </c>
    </row>
    <row r="60" spans="6:8" x14ac:dyDescent="0.4">
      <c r="F60" s="2"/>
      <c r="G60" s="2"/>
      <c r="H60" s="3" t="str">
        <f t="shared" si="2"/>
        <v/>
      </c>
    </row>
    <row r="61" spans="6:8" x14ac:dyDescent="0.4">
      <c r="F61" s="2"/>
      <c r="G61" s="2"/>
      <c r="H61" s="3" t="str">
        <f t="shared" si="2"/>
        <v/>
      </c>
    </row>
    <row r="62" spans="6:8" x14ac:dyDescent="0.4">
      <c r="F62" s="2"/>
      <c r="G62" s="2"/>
      <c r="H62" s="3" t="str">
        <f t="shared" si="2"/>
        <v/>
      </c>
    </row>
    <row r="63" spans="6:8" x14ac:dyDescent="0.4">
      <c r="F63" s="2"/>
      <c r="G63" s="2"/>
      <c r="H63" s="3" t="str">
        <f t="shared" si="2"/>
        <v/>
      </c>
    </row>
    <row r="64" spans="6:8" x14ac:dyDescent="0.4">
      <c r="F64" s="2"/>
      <c r="G64" s="2"/>
      <c r="H64" s="3" t="str">
        <f t="shared" si="2"/>
        <v/>
      </c>
    </row>
    <row r="65" spans="6:8" x14ac:dyDescent="0.4">
      <c r="F65" s="2"/>
      <c r="G65" s="2"/>
      <c r="H65" s="3" t="str">
        <f t="shared" si="2"/>
        <v/>
      </c>
    </row>
    <row r="66" spans="6:8" x14ac:dyDescent="0.4">
      <c r="F66" s="2"/>
      <c r="G66" s="2"/>
      <c r="H66" s="3" t="str">
        <f t="shared" ref="H66:H97" si="3">IF(AND(F66&lt;&gt;"",G66&lt;&gt;""),(G66-F66)*24,"")</f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si="3"/>
        <v/>
      </c>
    </row>
    <row r="70" spans="6:8" x14ac:dyDescent="0.4">
      <c r="F70" s="2"/>
      <c r="G70" s="2"/>
      <c r="H70" s="3" t="str">
        <f t="shared" si="3"/>
        <v/>
      </c>
    </row>
    <row r="71" spans="6:8" x14ac:dyDescent="0.4">
      <c r="F71" s="2"/>
      <c r="G71" s="2"/>
      <c r="H71" s="3" t="str">
        <f t="shared" si="3"/>
        <v/>
      </c>
    </row>
    <row r="72" spans="6:8" x14ac:dyDescent="0.4">
      <c r="F72" s="2"/>
      <c r="G72" s="2"/>
      <c r="H72" s="3" t="str">
        <f t="shared" si="3"/>
        <v/>
      </c>
    </row>
    <row r="73" spans="6:8" x14ac:dyDescent="0.4">
      <c r="F73" s="2"/>
      <c r="G73" s="2"/>
      <c r="H73" s="3" t="str">
        <f t="shared" si="3"/>
        <v/>
      </c>
    </row>
    <row r="74" spans="6:8" x14ac:dyDescent="0.4">
      <c r="F74" s="2"/>
      <c r="G74" s="2"/>
      <c r="H74" s="3" t="str">
        <f t="shared" si="3"/>
        <v/>
      </c>
    </row>
    <row r="75" spans="6:8" x14ac:dyDescent="0.4">
      <c r="F75" s="2"/>
      <c r="G75" s="2"/>
      <c r="H75" s="3" t="str">
        <f t="shared" si="3"/>
        <v/>
      </c>
    </row>
    <row r="76" spans="6:8" x14ac:dyDescent="0.4">
      <c r="F76" s="2"/>
      <c r="G76" s="2"/>
      <c r="H76" s="3" t="str">
        <f t="shared" si="3"/>
        <v/>
      </c>
    </row>
    <row r="77" spans="6:8" x14ac:dyDescent="0.4">
      <c r="F77" s="2"/>
      <c r="G77" s="2"/>
      <c r="H77" s="3" t="str">
        <f t="shared" si="3"/>
        <v/>
      </c>
    </row>
    <row r="78" spans="6:8" x14ac:dyDescent="0.4">
      <c r="F78" s="2"/>
      <c r="G78" s="2"/>
      <c r="H78" s="3" t="str">
        <f t="shared" si="3"/>
        <v/>
      </c>
    </row>
    <row r="79" spans="6:8" x14ac:dyDescent="0.4">
      <c r="F79" s="2"/>
      <c r="G79" s="2"/>
      <c r="H79" s="3" t="str">
        <f t="shared" si="3"/>
        <v/>
      </c>
    </row>
    <row r="80" spans="6:8" x14ac:dyDescent="0.4">
      <c r="F80" s="2"/>
      <c r="G80" s="2"/>
      <c r="H80" s="3" t="str">
        <f t="shared" si="3"/>
        <v/>
      </c>
    </row>
    <row r="81" spans="6:8" x14ac:dyDescent="0.4">
      <c r="F81" s="2"/>
      <c r="G81" s="2"/>
      <c r="H81" s="3" t="str">
        <f t="shared" si="3"/>
        <v/>
      </c>
    </row>
    <row r="82" spans="6:8" x14ac:dyDescent="0.4">
      <c r="F82" s="2"/>
      <c r="G82" s="2"/>
      <c r="H82" s="3" t="str">
        <f t="shared" si="3"/>
        <v/>
      </c>
    </row>
    <row r="83" spans="6:8" x14ac:dyDescent="0.4">
      <c r="F83" s="2"/>
      <c r="G83" s="2"/>
      <c r="H83" s="3" t="str">
        <f t="shared" si="3"/>
        <v/>
      </c>
    </row>
    <row r="84" spans="6:8" x14ac:dyDescent="0.4">
      <c r="F84" s="2"/>
      <c r="G84" s="2"/>
      <c r="H84" s="3" t="str">
        <f t="shared" si="3"/>
        <v/>
      </c>
    </row>
    <row r="85" spans="6:8" x14ac:dyDescent="0.4">
      <c r="F85" s="2"/>
      <c r="G85" s="2"/>
      <c r="H85" s="3" t="str">
        <f t="shared" si="3"/>
        <v/>
      </c>
    </row>
    <row r="86" spans="6:8" x14ac:dyDescent="0.4">
      <c r="F86" s="2"/>
      <c r="G86" s="2"/>
      <c r="H86" s="3" t="str">
        <f t="shared" si="3"/>
        <v/>
      </c>
    </row>
    <row r="87" spans="6:8" x14ac:dyDescent="0.4">
      <c r="F87" s="2"/>
      <c r="G87" s="2"/>
      <c r="H87" s="3" t="str">
        <f t="shared" si="3"/>
        <v/>
      </c>
    </row>
    <row r="88" spans="6:8" x14ac:dyDescent="0.4">
      <c r="F88" s="2"/>
      <c r="G88" s="2"/>
      <c r="H88" s="3" t="str">
        <f t="shared" si="3"/>
        <v/>
      </c>
    </row>
    <row r="89" spans="6:8" x14ac:dyDescent="0.4">
      <c r="F89" s="2"/>
      <c r="G89" s="2"/>
      <c r="H89" s="3" t="str">
        <f t="shared" si="3"/>
        <v/>
      </c>
    </row>
    <row r="90" spans="6:8" x14ac:dyDescent="0.4">
      <c r="F90" s="2"/>
      <c r="G90" s="2"/>
      <c r="H90" s="3" t="str">
        <f t="shared" si="3"/>
        <v/>
      </c>
    </row>
    <row r="91" spans="6:8" x14ac:dyDescent="0.4">
      <c r="F91" s="2"/>
      <c r="G91" s="2"/>
      <c r="H91" s="3" t="str">
        <f t="shared" si="3"/>
        <v/>
      </c>
    </row>
    <row r="92" spans="6:8" x14ac:dyDescent="0.4">
      <c r="F92" s="2"/>
      <c r="G92" s="2"/>
      <c r="H92" s="3" t="str">
        <f t="shared" si="3"/>
        <v/>
      </c>
    </row>
    <row r="93" spans="6:8" x14ac:dyDescent="0.4">
      <c r="F93" s="2"/>
      <c r="G93" s="2"/>
      <c r="H93" s="3" t="str">
        <f t="shared" si="3"/>
        <v/>
      </c>
    </row>
    <row r="94" spans="6:8" x14ac:dyDescent="0.4">
      <c r="F94" s="2"/>
      <c r="G94" s="2"/>
      <c r="H94" s="3" t="str">
        <f t="shared" si="3"/>
        <v/>
      </c>
    </row>
    <row r="95" spans="6:8" x14ac:dyDescent="0.4">
      <c r="F95" s="2"/>
      <c r="G95" s="2"/>
      <c r="H95" s="3" t="str">
        <f t="shared" si="3"/>
        <v/>
      </c>
    </row>
    <row r="96" spans="6:8" x14ac:dyDescent="0.4">
      <c r="F96" s="2"/>
      <c r="G96" s="2"/>
      <c r="H96" s="3" t="str">
        <f t="shared" si="3"/>
        <v/>
      </c>
    </row>
    <row r="97" spans="6:8" x14ac:dyDescent="0.4">
      <c r="F97" s="2"/>
      <c r="G97" s="2"/>
      <c r="H97" s="3" t="str">
        <f t="shared" si="3"/>
        <v/>
      </c>
    </row>
    <row r="98" spans="6:8" x14ac:dyDescent="0.4">
      <c r="F98" s="2"/>
      <c r="G98" s="2"/>
      <c r="H98" s="3" t="str">
        <f t="shared" ref="H98:H129" si="4">IF(AND(F98&lt;&gt;"",G98&lt;&gt;""),(G98-F98)*24,"")</f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si="4"/>
        <v/>
      </c>
    </row>
    <row r="102" spans="6:8" x14ac:dyDescent="0.4">
      <c r="F102" s="2"/>
      <c r="G102" s="2"/>
      <c r="H102" s="3" t="str">
        <f t="shared" si="4"/>
        <v/>
      </c>
    </row>
    <row r="103" spans="6:8" x14ac:dyDescent="0.4">
      <c r="F103" s="2"/>
      <c r="G103" s="2"/>
      <c r="H103" s="3" t="str">
        <f t="shared" si="4"/>
        <v/>
      </c>
    </row>
    <row r="104" spans="6:8" x14ac:dyDescent="0.4">
      <c r="F104" s="2"/>
      <c r="G104" s="2"/>
      <c r="H104" s="3" t="str">
        <f t="shared" si="4"/>
        <v/>
      </c>
    </row>
    <row r="105" spans="6:8" x14ac:dyDescent="0.4">
      <c r="F105" s="2"/>
      <c r="G105" s="2"/>
      <c r="H105" s="3" t="str">
        <f t="shared" si="4"/>
        <v/>
      </c>
    </row>
    <row r="106" spans="6:8" x14ac:dyDescent="0.4">
      <c r="F106" s="2"/>
      <c r="G106" s="2"/>
      <c r="H106" s="3" t="str">
        <f t="shared" si="4"/>
        <v/>
      </c>
    </row>
    <row r="107" spans="6:8" x14ac:dyDescent="0.4">
      <c r="F107" s="2"/>
      <c r="G107" s="2"/>
      <c r="H107" s="3" t="str">
        <f t="shared" si="4"/>
        <v/>
      </c>
    </row>
    <row r="108" spans="6:8" x14ac:dyDescent="0.4">
      <c r="F108" s="2"/>
      <c r="G108" s="2"/>
      <c r="H108" s="3" t="str">
        <f t="shared" si="4"/>
        <v/>
      </c>
    </row>
    <row r="109" spans="6:8" x14ac:dyDescent="0.4">
      <c r="F109" s="2"/>
      <c r="G109" s="2"/>
      <c r="H109" s="3" t="str">
        <f t="shared" si="4"/>
        <v/>
      </c>
    </row>
    <row r="110" spans="6:8" x14ac:dyDescent="0.4">
      <c r="F110" s="2"/>
      <c r="G110" s="2"/>
      <c r="H110" s="3" t="str">
        <f t="shared" si="4"/>
        <v/>
      </c>
    </row>
    <row r="111" spans="6:8" x14ac:dyDescent="0.4">
      <c r="F111" s="2"/>
      <c r="G111" s="2"/>
      <c r="H111" s="3" t="str">
        <f t="shared" si="4"/>
        <v/>
      </c>
    </row>
    <row r="112" spans="6:8" x14ac:dyDescent="0.4">
      <c r="F112" s="2"/>
      <c r="G112" s="2"/>
      <c r="H112" s="3" t="str">
        <f t="shared" si="4"/>
        <v/>
      </c>
    </row>
    <row r="113" spans="6:8" x14ac:dyDescent="0.4">
      <c r="F113" s="2"/>
      <c r="G113" s="2"/>
      <c r="H113" s="3" t="str">
        <f t="shared" si="4"/>
        <v/>
      </c>
    </row>
    <row r="114" spans="6:8" x14ac:dyDescent="0.4">
      <c r="F114" s="2"/>
      <c r="G114" s="2"/>
      <c r="H114" s="3" t="str">
        <f t="shared" si="4"/>
        <v/>
      </c>
    </row>
    <row r="115" spans="6:8" x14ac:dyDescent="0.4">
      <c r="F115" s="2"/>
      <c r="G115" s="2"/>
      <c r="H115" s="3" t="str">
        <f t="shared" si="4"/>
        <v/>
      </c>
    </row>
    <row r="116" spans="6:8" x14ac:dyDescent="0.4">
      <c r="F116" s="2"/>
      <c r="G116" s="2"/>
      <c r="H116" s="3" t="str">
        <f t="shared" si="4"/>
        <v/>
      </c>
    </row>
    <row r="117" spans="6:8" x14ac:dyDescent="0.4">
      <c r="F117" s="2"/>
      <c r="G117" s="2"/>
      <c r="H117" s="3" t="str">
        <f t="shared" si="4"/>
        <v/>
      </c>
    </row>
    <row r="118" spans="6:8" x14ac:dyDescent="0.4">
      <c r="F118" s="2"/>
      <c r="G118" s="2"/>
      <c r="H118" s="3" t="str">
        <f t="shared" si="4"/>
        <v/>
      </c>
    </row>
    <row r="119" spans="6:8" x14ac:dyDescent="0.4">
      <c r="F119" s="2"/>
      <c r="G119" s="2"/>
      <c r="H119" s="3" t="str">
        <f t="shared" si="4"/>
        <v/>
      </c>
    </row>
    <row r="120" spans="6:8" x14ac:dyDescent="0.4">
      <c r="F120" s="2"/>
      <c r="G120" s="2"/>
      <c r="H120" s="3" t="str">
        <f t="shared" si="4"/>
        <v/>
      </c>
    </row>
    <row r="121" spans="6:8" x14ac:dyDescent="0.4">
      <c r="F121" s="2"/>
      <c r="G121" s="2"/>
      <c r="H121" s="3" t="str">
        <f t="shared" si="4"/>
        <v/>
      </c>
    </row>
    <row r="122" spans="6:8" x14ac:dyDescent="0.4">
      <c r="F122" s="2"/>
      <c r="G122" s="2"/>
      <c r="H122" s="3" t="str">
        <f t="shared" si="4"/>
        <v/>
      </c>
    </row>
    <row r="123" spans="6:8" x14ac:dyDescent="0.4">
      <c r="F123" s="2"/>
      <c r="G123" s="2"/>
      <c r="H123" s="3" t="str">
        <f t="shared" si="4"/>
        <v/>
      </c>
    </row>
    <row r="124" spans="6:8" x14ac:dyDescent="0.4">
      <c r="F124" s="2"/>
      <c r="G124" s="2"/>
      <c r="H124" s="3" t="str">
        <f t="shared" si="4"/>
        <v/>
      </c>
    </row>
    <row r="125" spans="6:8" x14ac:dyDescent="0.4">
      <c r="F125" s="2"/>
      <c r="G125" s="2"/>
      <c r="H125" s="3" t="str">
        <f t="shared" si="4"/>
        <v/>
      </c>
    </row>
    <row r="126" spans="6:8" x14ac:dyDescent="0.4">
      <c r="F126" s="2"/>
      <c r="G126" s="2"/>
      <c r="H126" s="3" t="str">
        <f t="shared" si="4"/>
        <v/>
      </c>
    </row>
    <row r="127" spans="6:8" x14ac:dyDescent="0.4">
      <c r="F127" s="2"/>
      <c r="G127" s="2"/>
      <c r="H127" s="3" t="str">
        <f t="shared" si="4"/>
        <v/>
      </c>
    </row>
    <row r="128" spans="6:8" x14ac:dyDescent="0.4">
      <c r="F128" s="2"/>
      <c r="G128" s="2"/>
      <c r="H128" s="3" t="str">
        <f t="shared" si="4"/>
        <v/>
      </c>
    </row>
    <row r="129" spans="6:8" x14ac:dyDescent="0.4">
      <c r="F129" s="2"/>
      <c r="G129" s="2"/>
      <c r="H129" s="3" t="str">
        <f t="shared" si="4"/>
        <v/>
      </c>
    </row>
    <row r="130" spans="6:8" x14ac:dyDescent="0.4">
      <c r="F130" s="2"/>
      <c r="G130" s="2"/>
      <c r="H130" s="3" t="str">
        <f t="shared" ref="H130:H161" si="5">IF(AND(F130&lt;&gt;"",G130&lt;&gt;""),(G130-F130)*24,"")</f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si="5"/>
        <v/>
      </c>
    </row>
    <row r="134" spans="6:8" x14ac:dyDescent="0.4">
      <c r="F134" s="2"/>
      <c r="G134" s="2"/>
      <c r="H134" s="3" t="str">
        <f t="shared" si="5"/>
        <v/>
      </c>
    </row>
    <row r="135" spans="6:8" x14ac:dyDescent="0.4">
      <c r="F135" s="2"/>
      <c r="G135" s="2"/>
      <c r="H135" s="3" t="str">
        <f t="shared" si="5"/>
        <v/>
      </c>
    </row>
    <row r="136" spans="6:8" x14ac:dyDescent="0.4">
      <c r="F136" s="2"/>
      <c r="G136" s="2"/>
      <c r="H136" s="3" t="str">
        <f t="shared" si="5"/>
        <v/>
      </c>
    </row>
    <row r="137" spans="6:8" x14ac:dyDescent="0.4">
      <c r="F137" s="2"/>
      <c r="G137" s="2"/>
      <c r="H137" s="3" t="str">
        <f t="shared" si="5"/>
        <v/>
      </c>
    </row>
    <row r="138" spans="6:8" x14ac:dyDescent="0.4">
      <c r="F138" s="2"/>
      <c r="G138" s="2"/>
      <c r="H138" s="3" t="str">
        <f t="shared" si="5"/>
        <v/>
      </c>
    </row>
    <row r="139" spans="6:8" x14ac:dyDescent="0.4">
      <c r="F139" s="2"/>
      <c r="G139" s="2"/>
      <c r="H139" s="3" t="str">
        <f t="shared" si="5"/>
        <v/>
      </c>
    </row>
    <row r="140" spans="6:8" x14ac:dyDescent="0.4">
      <c r="F140" s="2"/>
      <c r="G140" s="2"/>
      <c r="H140" s="3" t="str">
        <f t="shared" si="5"/>
        <v/>
      </c>
    </row>
    <row r="141" spans="6:8" x14ac:dyDescent="0.4">
      <c r="F141" s="2"/>
      <c r="G141" s="2"/>
      <c r="H141" s="3" t="str">
        <f t="shared" si="5"/>
        <v/>
      </c>
    </row>
    <row r="142" spans="6:8" x14ac:dyDescent="0.4">
      <c r="F142" s="2"/>
      <c r="G142" s="2"/>
      <c r="H142" s="3" t="str">
        <f t="shared" si="5"/>
        <v/>
      </c>
    </row>
    <row r="143" spans="6:8" x14ac:dyDescent="0.4">
      <c r="F143" s="2"/>
      <c r="G143" s="2"/>
      <c r="H143" s="3" t="str">
        <f t="shared" si="5"/>
        <v/>
      </c>
    </row>
    <row r="144" spans="6:8" x14ac:dyDescent="0.4">
      <c r="F144" s="2"/>
      <c r="G144" s="2"/>
      <c r="H144" s="3" t="str">
        <f t="shared" si="5"/>
        <v/>
      </c>
    </row>
    <row r="145" spans="6:8" x14ac:dyDescent="0.4">
      <c r="F145" s="2"/>
      <c r="G145" s="2"/>
      <c r="H145" s="3" t="str">
        <f t="shared" si="5"/>
        <v/>
      </c>
    </row>
    <row r="146" spans="6:8" x14ac:dyDescent="0.4">
      <c r="F146" s="2"/>
      <c r="G146" s="2"/>
      <c r="H146" s="3" t="str">
        <f t="shared" si="5"/>
        <v/>
      </c>
    </row>
    <row r="147" spans="6:8" x14ac:dyDescent="0.4">
      <c r="F147" s="2"/>
      <c r="G147" s="2"/>
      <c r="H147" s="3" t="str">
        <f t="shared" si="5"/>
        <v/>
      </c>
    </row>
    <row r="148" spans="6:8" x14ac:dyDescent="0.4">
      <c r="F148" s="2"/>
      <c r="G148" s="2"/>
      <c r="H148" s="3" t="str">
        <f t="shared" si="5"/>
        <v/>
      </c>
    </row>
    <row r="149" spans="6:8" x14ac:dyDescent="0.4">
      <c r="F149" s="2"/>
      <c r="G149" s="2"/>
      <c r="H149" s="3" t="str">
        <f t="shared" si="5"/>
        <v/>
      </c>
    </row>
    <row r="150" spans="6:8" x14ac:dyDescent="0.4">
      <c r="F150" s="2"/>
      <c r="G150" s="2"/>
      <c r="H150" s="3" t="str">
        <f t="shared" si="5"/>
        <v/>
      </c>
    </row>
    <row r="151" spans="6:8" x14ac:dyDescent="0.4">
      <c r="F151" s="2"/>
      <c r="G151" s="2"/>
      <c r="H151" s="3" t="str">
        <f t="shared" si="5"/>
        <v/>
      </c>
    </row>
    <row r="152" spans="6:8" x14ac:dyDescent="0.4">
      <c r="F152" s="2"/>
      <c r="G152" s="2"/>
      <c r="H152" s="3" t="str">
        <f t="shared" si="5"/>
        <v/>
      </c>
    </row>
    <row r="153" spans="6:8" x14ac:dyDescent="0.4">
      <c r="F153" s="2"/>
      <c r="G153" s="2"/>
      <c r="H153" s="3" t="str">
        <f t="shared" si="5"/>
        <v/>
      </c>
    </row>
    <row r="154" spans="6:8" x14ac:dyDescent="0.4">
      <c r="F154" s="2"/>
      <c r="G154" s="2"/>
      <c r="H154" s="3" t="str">
        <f t="shared" si="5"/>
        <v/>
      </c>
    </row>
    <row r="155" spans="6:8" x14ac:dyDescent="0.4">
      <c r="F155" s="2"/>
      <c r="G155" s="2"/>
      <c r="H155" s="3" t="str">
        <f t="shared" si="5"/>
        <v/>
      </c>
    </row>
    <row r="156" spans="6:8" x14ac:dyDescent="0.4">
      <c r="F156" s="2"/>
      <c r="G156" s="2"/>
      <c r="H156" s="3" t="str">
        <f t="shared" si="5"/>
        <v/>
      </c>
    </row>
    <row r="157" spans="6:8" x14ac:dyDescent="0.4">
      <c r="F157" s="2"/>
      <c r="G157" s="2"/>
      <c r="H157" s="3" t="str">
        <f t="shared" si="5"/>
        <v/>
      </c>
    </row>
    <row r="158" spans="6:8" x14ac:dyDescent="0.4">
      <c r="F158" s="2"/>
      <c r="G158" s="2"/>
      <c r="H158" s="3" t="str">
        <f t="shared" si="5"/>
        <v/>
      </c>
    </row>
    <row r="159" spans="6:8" x14ac:dyDescent="0.4">
      <c r="F159" s="2"/>
      <c r="G159" s="2"/>
      <c r="H159" s="3" t="str">
        <f t="shared" si="5"/>
        <v/>
      </c>
    </row>
    <row r="160" spans="6:8" x14ac:dyDescent="0.4">
      <c r="F160" s="2"/>
      <c r="G160" s="2"/>
      <c r="H160" s="3" t="str">
        <f t="shared" si="5"/>
        <v/>
      </c>
    </row>
    <row r="161" spans="6:8" x14ac:dyDescent="0.4">
      <c r="F161" s="2"/>
      <c r="G161" s="2"/>
      <c r="H161" s="3" t="str">
        <f t="shared" si="5"/>
        <v/>
      </c>
    </row>
    <row r="162" spans="6:8" x14ac:dyDescent="0.4">
      <c r="F162" s="2"/>
      <c r="G162" s="2"/>
      <c r="H162" s="3" t="str">
        <f t="shared" ref="H162:H193" si="6">IF(AND(F162&lt;&gt;"",G162&lt;&gt;""),(G162-F162)*24,"")</f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si="6"/>
        <v/>
      </c>
    </row>
    <row r="166" spans="6:8" x14ac:dyDescent="0.4">
      <c r="F166" s="2"/>
      <c r="G166" s="2"/>
      <c r="H166" s="3" t="str">
        <f t="shared" si="6"/>
        <v/>
      </c>
    </row>
    <row r="167" spans="6:8" x14ac:dyDescent="0.4">
      <c r="F167" s="2"/>
      <c r="G167" s="2"/>
      <c r="H167" s="3" t="str">
        <f t="shared" si="6"/>
        <v/>
      </c>
    </row>
    <row r="168" spans="6:8" x14ac:dyDescent="0.4">
      <c r="F168" s="2"/>
      <c r="G168" s="2"/>
      <c r="H168" s="3" t="str">
        <f t="shared" si="6"/>
        <v/>
      </c>
    </row>
    <row r="169" spans="6:8" x14ac:dyDescent="0.4">
      <c r="F169" s="2"/>
      <c r="G169" s="2"/>
      <c r="H169" s="3" t="str">
        <f t="shared" si="6"/>
        <v/>
      </c>
    </row>
    <row r="170" spans="6:8" x14ac:dyDescent="0.4">
      <c r="F170" s="2"/>
      <c r="G170" s="2"/>
      <c r="H170" s="3" t="str">
        <f t="shared" si="6"/>
        <v/>
      </c>
    </row>
    <row r="171" spans="6:8" x14ac:dyDescent="0.4">
      <c r="F171" s="2"/>
      <c r="G171" s="2"/>
      <c r="H171" s="3" t="str">
        <f t="shared" si="6"/>
        <v/>
      </c>
    </row>
    <row r="172" spans="6:8" x14ac:dyDescent="0.4">
      <c r="F172" s="2"/>
      <c r="G172" s="2"/>
      <c r="H172" s="3" t="str">
        <f t="shared" si="6"/>
        <v/>
      </c>
    </row>
    <row r="173" spans="6:8" x14ac:dyDescent="0.4">
      <c r="F173" s="2"/>
      <c r="G173" s="2"/>
      <c r="H173" s="3" t="str">
        <f t="shared" si="6"/>
        <v/>
      </c>
    </row>
    <row r="174" spans="6:8" x14ac:dyDescent="0.4">
      <c r="F174" s="2"/>
      <c r="G174" s="2"/>
      <c r="H174" s="3" t="str">
        <f t="shared" si="6"/>
        <v/>
      </c>
    </row>
    <row r="175" spans="6:8" x14ac:dyDescent="0.4">
      <c r="F175" s="2"/>
      <c r="G175" s="2"/>
      <c r="H175" s="3" t="str">
        <f t="shared" si="6"/>
        <v/>
      </c>
    </row>
    <row r="176" spans="6:8" x14ac:dyDescent="0.4">
      <c r="F176" s="2"/>
      <c r="G176" s="2"/>
      <c r="H176" s="3" t="str">
        <f t="shared" si="6"/>
        <v/>
      </c>
    </row>
    <row r="177" spans="6:8" x14ac:dyDescent="0.4">
      <c r="F177" s="2"/>
      <c r="G177" s="2"/>
      <c r="H177" s="3" t="str">
        <f t="shared" si="6"/>
        <v/>
      </c>
    </row>
    <row r="178" spans="6:8" x14ac:dyDescent="0.4">
      <c r="F178" s="2"/>
      <c r="G178" s="2"/>
      <c r="H178" s="3" t="str">
        <f t="shared" si="6"/>
        <v/>
      </c>
    </row>
    <row r="179" spans="6:8" x14ac:dyDescent="0.4">
      <c r="F179" s="2"/>
      <c r="G179" s="2"/>
      <c r="H179" s="3" t="str">
        <f t="shared" si="6"/>
        <v/>
      </c>
    </row>
    <row r="180" spans="6:8" x14ac:dyDescent="0.4">
      <c r="F180" s="2"/>
      <c r="G180" s="2"/>
      <c r="H180" s="3" t="str">
        <f t="shared" si="6"/>
        <v/>
      </c>
    </row>
    <row r="181" spans="6:8" x14ac:dyDescent="0.4">
      <c r="F181" s="2"/>
      <c r="G181" s="2"/>
      <c r="H181" s="3" t="str">
        <f t="shared" si="6"/>
        <v/>
      </c>
    </row>
    <row r="182" spans="6:8" x14ac:dyDescent="0.4">
      <c r="F182" s="2"/>
      <c r="G182" s="2"/>
      <c r="H182" s="3" t="str">
        <f t="shared" si="6"/>
        <v/>
      </c>
    </row>
    <row r="183" spans="6:8" x14ac:dyDescent="0.4">
      <c r="F183" s="2"/>
      <c r="G183" s="2"/>
      <c r="H183" s="3" t="str">
        <f t="shared" si="6"/>
        <v/>
      </c>
    </row>
    <row r="184" spans="6:8" x14ac:dyDescent="0.4">
      <c r="F184" s="2"/>
      <c r="G184" s="2"/>
      <c r="H184" s="3" t="str">
        <f t="shared" si="6"/>
        <v/>
      </c>
    </row>
    <row r="185" spans="6:8" x14ac:dyDescent="0.4">
      <c r="F185" s="2"/>
      <c r="G185" s="2"/>
      <c r="H185" s="3" t="str">
        <f t="shared" si="6"/>
        <v/>
      </c>
    </row>
    <row r="186" spans="6:8" x14ac:dyDescent="0.4">
      <c r="F186" s="2"/>
      <c r="G186" s="2"/>
      <c r="H186" s="3" t="str">
        <f t="shared" si="6"/>
        <v/>
      </c>
    </row>
    <row r="187" spans="6:8" x14ac:dyDescent="0.4">
      <c r="F187" s="2"/>
      <c r="G187" s="2"/>
      <c r="H187" s="3" t="str">
        <f t="shared" si="6"/>
        <v/>
      </c>
    </row>
    <row r="188" spans="6:8" x14ac:dyDescent="0.4">
      <c r="F188" s="2"/>
      <c r="G188" s="2"/>
      <c r="H188" s="3" t="str">
        <f t="shared" si="6"/>
        <v/>
      </c>
    </row>
    <row r="189" spans="6:8" x14ac:dyDescent="0.4">
      <c r="F189" s="2"/>
      <c r="G189" s="2"/>
      <c r="H189" s="3" t="str">
        <f t="shared" si="6"/>
        <v/>
      </c>
    </row>
    <row r="190" spans="6:8" x14ac:dyDescent="0.4">
      <c r="F190" s="2"/>
      <c r="G190" s="2"/>
      <c r="H190" s="3" t="str">
        <f t="shared" si="6"/>
        <v/>
      </c>
    </row>
    <row r="191" spans="6:8" x14ac:dyDescent="0.4">
      <c r="F191" s="2"/>
      <c r="G191" s="2"/>
      <c r="H191" s="3" t="str">
        <f t="shared" si="6"/>
        <v/>
      </c>
    </row>
    <row r="192" spans="6:8" x14ac:dyDescent="0.4">
      <c r="F192" s="2"/>
      <c r="G192" s="2"/>
      <c r="H192" s="3" t="str">
        <f t="shared" si="6"/>
        <v/>
      </c>
    </row>
    <row r="193" spans="6:8" x14ac:dyDescent="0.4">
      <c r="F193" s="2"/>
      <c r="G193" s="2"/>
      <c r="H193" s="3" t="str">
        <f t="shared" si="6"/>
        <v/>
      </c>
    </row>
    <row r="194" spans="6:8" x14ac:dyDescent="0.4">
      <c r="F194" s="2"/>
      <c r="G194" s="2"/>
      <c r="H194" s="3" t="str">
        <f t="shared" ref="H194:H201" si="7">IF(AND(F194&lt;&gt;"",G194&lt;&gt;""),(G194-F194)*24,"")</f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si="7"/>
        <v/>
      </c>
    </row>
    <row r="198" spans="6:8" x14ac:dyDescent="0.4">
      <c r="F198" s="2"/>
      <c r="G198" s="2"/>
      <c r="H198" s="3" t="str">
        <f t="shared" si="7"/>
        <v/>
      </c>
    </row>
    <row r="199" spans="6:8" x14ac:dyDescent="0.4">
      <c r="F199" s="2"/>
      <c r="G199" s="2"/>
      <c r="H199" s="3" t="str">
        <f t="shared" si="7"/>
        <v/>
      </c>
    </row>
    <row r="200" spans="6:8" x14ac:dyDescent="0.4">
      <c r="F200" s="2"/>
      <c r="G200" s="2"/>
      <c r="H200" s="3" t="str">
        <f t="shared" si="7"/>
        <v/>
      </c>
    </row>
    <row r="201" spans="6:8" x14ac:dyDescent="0.4">
      <c r="F201" s="2"/>
      <c r="G201" s="2"/>
      <c r="H201" s="3" t="str">
        <f t="shared" si="7"/>
        <v/>
      </c>
    </row>
  </sheetData>
  <dataValidations count="4">
    <dataValidation type="list" allowBlank="1" showDropDown="1" showInputMessage="1" showErrorMessage="1" sqref="D32:D201" xr:uid="{00000000-0002-0000-0100-000000000000}">
      <formula1>"Theorie (Video),Live-Call,Selbststudium"</formula1>
    </dataValidation>
    <dataValidation type="list" allowBlank="1" showDropDown="1" showInputMessage="1" showErrorMessage="1" sqref="C32:C201" xr:uid="{00000000-0002-0000-0100-000001000000}">
      <formula1>"Kurs A – Data Science,Kurs B – Scrum"</formula1>
    </dataValidation>
    <dataValidation type="list" allowBlank="1" showInputMessage="1" showErrorMessage="1" sqref="D2:D19" xr:uid="{F30EA406-B3DE-4953-95C7-3B1FF2C95205}">
      <formula1>"Theorie (Video),Live-Call-Vorlesung,Selbststudium,Live-Call-Hausaufgaben"</formula1>
    </dataValidation>
    <dataValidation type="list" allowBlank="1" showInputMessage="1" showErrorMessage="1" sqref="C2:C19" xr:uid="{25A310FE-EBBE-41A8-9120-85DB78C3DACB}">
      <formula1>"EDA,EXCEL,ScrumPO,ETL,AWS,PowerBI,PROJEKT"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/>
  <dimension ref="A1:K204"/>
  <sheetViews>
    <sheetView topLeftCell="A31" zoomScale="90" zoomScaleNormal="90" workbookViewId="0">
      <selection activeCell="E35" sqref="E35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  <col min="10" max="10" width="10.53515625" customWidth="1"/>
    <col min="11" max="11" width="18.3828125" bestFit="1" customWidth="1"/>
  </cols>
  <sheetData>
    <row r="1" spans="1:11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20" t="s">
        <v>48</v>
      </c>
      <c r="K1" s="1" t="s">
        <v>42</v>
      </c>
    </row>
    <row r="2" spans="1:11" x14ac:dyDescent="0.4">
      <c r="A2" s="5">
        <v>45931</v>
      </c>
      <c r="B2" s="7" t="s">
        <v>20</v>
      </c>
      <c r="C2" t="s">
        <v>30</v>
      </c>
      <c r="D2" t="s">
        <v>6</v>
      </c>
      <c r="E2" t="s">
        <v>33</v>
      </c>
      <c r="F2" s="2">
        <v>0.41666666666666669</v>
      </c>
      <c r="G2" s="2">
        <v>0.5</v>
      </c>
      <c r="H2" s="3">
        <f t="shared" ref="H2" si="0">IF(AND(F2&lt;&gt;"",G2&lt;&gt;""),(G2-F2)*24,"")</f>
        <v>1.9999999999999996</v>
      </c>
      <c r="I2" t="s">
        <v>32</v>
      </c>
      <c r="J2" s="6"/>
      <c r="K2" s="3">
        <f t="shared" ref="K2" si="1">SUM(H2:H50)</f>
        <v>111.83333333333333</v>
      </c>
    </row>
    <row r="3" spans="1:11" x14ac:dyDescent="0.4">
      <c r="A3" s="4">
        <v>45931</v>
      </c>
      <c r="B3" t="s">
        <v>20</v>
      </c>
      <c r="C3" t="s">
        <v>15</v>
      </c>
      <c r="D3" t="s">
        <v>34</v>
      </c>
      <c r="E3" t="s">
        <v>36</v>
      </c>
      <c r="F3" s="2">
        <v>0.55208333333333337</v>
      </c>
      <c r="G3" s="2">
        <v>0.61805555555555558</v>
      </c>
      <c r="H3" s="3">
        <f t="shared" ref="H3" si="2">IF(AND(F3&lt;&gt;"",G3&lt;&gt;""),(G3-F3)*24,"")</f>
        <v>1.583333333333333</v>
      </c>
      <c r="I3" t="s">
        <v>32</v>
      </c>
      <c r="K3" s="3"/>
    </row>
    <row r="4" spans="1:11" x14ac:dyDescent="0.4">
      <c r="A4" s="4">
        <v>45932</v>
      </c>
      <c r="B4" t="s">
        <v>19</v>
      </c>
      <c r="C4" t="s">
        <v>30</v>
      </c>
      <c r="D4" t="s">
        <v>6</v>
      </c>
      <c r="E4" t="s">
        <v>33</v>
      </c>
      <c r="F4" s="2">
        <v>0.375</v>
      </c>
      <c r="G4" s="2">
        <v>0.5</v>
      </c>
      <c r="H4" s="3">
        <f t="shared" ref="H4:H36" si="3">IF(AND(F4&lt;&gt;"",G4&lt;&gt;""),(G4-F4)*24,"")</f>
        <v>3</v>
      </c>
      <c r="I4" t="s">
        <v>32</v>
      </c>
      <c r="K4" s="3"/>
    </row>
    <row r="5" spans="1:11" x14ac:dyDescent="0.4">
      <c r="A5" s="4">
        <v>45933</v>
      </c>
      <c r="B5" t="s">
        <v>28</v>
      </c>
      <c r="C5" t="s">
        <v>15</v>
      </c>
      <c r="D5" t="s">
        <v>2</v>
      </c>
      <c r="E5" t="s">
        <v>35</v>
      </c>
      <c r="F5" s="2">
        <v>0.375</v>
      </c>
      <c r="G5" s="2">
        <v>0.58333333333333337</v>
      </c>
      <c r="H5" s="3">
        <f t="shared" si="3"/>
        <v>5.0000000000000009</v>
      </c>
      <c r="I5" t="s">
        <v>32</v>
      </c>
      <c r="K5" s="3"/>
    </row>
    <row r="6" spans="1:11" x14ac:dyDescent="0.4">
      <c r="A6" s="4">
        <v>45934</v>
      </c>
      <c r="B6" t="s">
        <v>24</v>
      </c>
      <c r="C6" t="s">
        <v>15</v>
      </c>
      <c r="D6" t="s">
        <v>2</v>
      </c>
      <c r="E6" t="s">
        <v>35</v>
      </c>
      <c r="F6" s="2">
        <v>0.375</v>
      </c>
      <c r="G6" s="2">
        <v>0.54166666666666663</v>
      </c>
      <c r="H6" s="3">
        <f t="shared" si="3"/>
        <v>3.9999999999999991</v>
      </c>
      <c r="I6" t="s">
        <v>32</v>
      </c>
      <c r="K6" s="3"/>
    </row>
    <row r="7" spans="1:11" x14ac:dyDescent="0.4">
      <c r="A7" s="4">
        <v>45935</v>
      </c>
      <c r="B7" t="s">
        <v>25</v>
      </c>
      <c r="C7" t="s">
        <v>15</v>
      </c>
      <c r="D7" t="s">
        <v>6</v>
      </c>
      <c r="E7" t="s">
        <v>33</v>
      </c>
      <c r="F7" s="2">
        <v>0.375</v>
      </c>
      <c r="G7" s="2">
        <v>0.625</v>
      </c>
      <c r="H7" s="3">
        <f t="shared" si="3"/>
        <v>6</v>
      </c>
      <c r="I7" t="s">
        <v>32</v>
      </c>
      <c r="K7" s="3"/>
    </row>
    <row r="8" spans="1:11" x14ac:dyDescent="0.4">
      <c r="A8" s="4">
        <v>45936</v>
      </c>
      <c r="B8" t="s">
        <v>27</v>
      </c>
      <c r="C8" t="s">
        <v>30</v>
      </c>
      <c r="D8" t="s">
        <v>31</v>
      </c>
      <c r="E8" t="s">
        <v>36</v>
      </c>
      <c r="F8" s="2">
        <v>0.41666666666666669</v>
      </c>
      <c r="G8" s="2">
        <v>0.45833333333333331</v>
      </c>
      <c r="H8" s="3">
        <f t="shared" si="3"/>
        <v>0.99999999999999911</v>
      </c>
      <c r="I8" t="s">
        <v>32</v>
      </c>
      <c r="K8" s="3"/>
    </row>
    <row r="9" spans="1:11" x14ac:dyDescent="0.4">
      <c r="A9" s="4">
        <v>45937</v>
      </c>
      <c r="B9" t="s">
        <v>26</v>
      </c>
      <c r="C9" t="s">
        <v>22</v>
      </c>
      <c r="D9" t="s">
        <v>6</v>
      </c>
      <c r="E9" t="s">
        <v>23</v>
      </c>
      <c r="F9" s="2">
        <v>0.58333333333333337</v>
      </c>
      <c r="G9" s="2">
        <v>0.79166666666666663</v>
      </c>
      <c r="H9" s="3">
        <f t="shared" si="3"/>
        <v>4.9999999999999982</v>
      </c>
      <c r="I9" t="s">
        <v>29</v>
      </c>
      <c r="K9" s="3"/>
    </row>
    <row r="10" spans="1:11" x14ac:dyDescent="0.4">
      <c r="A10" s="4">
        <v>45937</v>
      </c>
      <c r="B10" t="s">
        <v>26</v>
      </c>
      <c r="C10" t="s">
        <v>30</v>
      </c>
      <c r="D10" t="s">
        <v>34</v>
      </c>
      <c r="E10" t="s">
        <v>36</v>
      </c>
      <c r="F10" s="2">
        <v>0.42708333333333331</v>
      </c>
      <c r="G10" s="2">
        <v>0.48958333333333331</v>
      </c>
      <c r="H10" s="3">
        <f t="shared" si="3"/>
        <v>1.5</v>
      </c>
      <c r="I10" t="s">
        <v>32</v>
      </c>
      <c r="K10" s="3"/>
    </row>
    <row r="11" spans="1:11" x14ac:dyDescent="0.4">
      <c r="A11" s="4">
        <v>45938</v>
      </c>
      <c r="B11" t="s">
        <v>21</v>
      </c>
      <c r="C11" t="s">
        <v>15</v>
      </c>
      <c r="D11" t="s">
        <v>34</v>
      </c>
      <c r="E11" t="s">
        <v>36</v>
      </c>
      <c r="F11" s="2">
        <v>0.55208333333333337</v>
      </c>
      <c r="G11" s="2">
        <v>0.61805555555555558</v>
      </c>
      <c r="H11" s="3">
        <f t="shared" si="3"/>
        <v>1.583333333333333</v>
      </c>
      <c r="I11" t="s">
        <v>32</v>
      </c>
      <c r="K11" s="3"/>
    </row>
    <row r="12" spans="1:11" x14ac:dyDescent="0.4">
      <c r="A12" s="4">
        <v>45938</v>
      </c>
      <c r="B12" t="s">
        <v>20</v>
      </c>
      <c r="C12" t="s">
        <v>22</v>
      </c>
      <c r="D12" t="s">
        <v>6</v>
      </c>
      <c r="E12" t="s">
        <v>23</v>
      </c>
      <c r="F12" s="2">
        <v>0.66666666666666663</v>
      </c>
      <c r="G12" s="2">
        <v>0.79166666666666663</v>
      </c>
      <c r="H12" s="3">
        <f t="shared" si="3"/>
        <v>3</v>
      </c>
      <c r="I12" t="s">
        <v>29</v>
      </c>
      <c r="K12" s="3"/>
    </row>
    <row r="13" spans="1:11" x14ac:dyDescent="0.4">
      <c r="A13" s="4">
        <v>45939</v>
      </c>
      <c r="B13" t="s">
        <v>19</v>
      </c>
      <c r="C13" t="s">
        <v>16</v>
      </c>
      <c r="D13" t="s">
        <v>6</v>
      </c>
      <c r="E13" t="s">
        <v>17</v>
      </c>
      <c r="F13" s="2">
        <v>0.35416666666666669</v>
      </c>
      <c r="G13" s="2">
        <v>0.44791666666666669</v>
      </c>
      <c r="H13" s="3">
        <f t="shared" si="3"/>
        <v>2.25</v>
      </c>
      <c r="I13" t="s">
        <v>18</v>
      </c>
      <c r="K13" s="3"/>
    </row>
    <row r="14" spans="1:11" x14ac:dyDescent="0.4">
      <c r="A14" s="4">
        <v>45939</v>
      </c>
      <c r="B14" t="s">
        <v>19</v>
      </c>
      <c r="C14" t="s">
        <v>22</v>
      </c>
      <c r="D14" t="s">
        <v>6</v>
      </c>
      <c r="E14" t="s">
        <v>23</v>
      </c>
      <c r="F14" s="2">
        <v>0.69791666666666663</v>
      </c>
      <c r="G14" s="2">
        <v>0.76041666666666663</v>
      </c>
      <c r="H14" s="3">
        <f t="shared" si="3"/>
        <v>1.5</v>
      </c>
      <c r="I14" t="s">
        <v>29</v>
      </c>
      <c r="K14" s="3"/>
    </row>
    <row r="15" spans="1:11" x14ac:dyDescent="0.4">
      <c r="A15" s="4">
        <v>45940</v>
      </c>
      <c r="B15" t="s">
        <v>28</v>
      </c>
      <c r="C15" t="s">
        <v>16</v>
      </c>
      <c r="D15" t="s">
        <v>6</v>
      </c>
      <c r="E15" t="s">
        <v>17</v>
      </c>
      <c r="F15" s="2">
        <v>0.52083333333333337</v>
      </c>
      <c r="G15" s="2">
        <v>0.64583333333333337</v>
      </c>
      <c r="H15" s="3">
        <f t="shared" si="3"/>
        <v>3</v>
      </c>
      <c r="I15" t="s">
        <v>37</v>
      </c>
      <c r="K15" s="3"/>
    </row>
    <row r="16" spans="1:11" x14ac:dyDescent="0.4">
      <c r="A16" s="4">
        <v>45940</v>
      </c>
      <c r="B16" t="s">
        <v>28</v>
      </c>
      <c r="C16" t="s">
        <v>22</v>
      </c>
      <c r="D16" t="s">
        <v>6</v>
      </c>
      <c r="E16" t="s">
        <v>23</v>
      </c>
      <c r="F16" s="2">
        <v>0.69791666666666663</v>
      </c>
      <c r="G16" s="2">
        <v>0.75</v>
      </c>
      <c r="H16" s="3">
        <f t="shared" si="3"/>
        <v>1.2500000000000009</v>
      </c>
      <c r="I16" t="s">
        <v>29</v>
      </c>
      <c r="K16" s="3"/>
    </row>
    <row r="17" spans="1:11" x14ac:dyDescent="0.4">
      <c r="A17" s="4">
        <v>45941</v>
      </c>
      <c r="B17" t="s">
        <v>24</v>
      </c>
      <c r="C17" t="s">
        <v>22</v>
      </c>
      <c r="D17" t="s">
        <v>6</v>
      </c>
      <c r="E17" t="s">
        <v>23</v>
      </c>
      <c r="F17" s="2">
        <v>0.54166666666666663</v>
      </c>
      <c r="G17" s="2">
        <v>0.60416666666666663</v>
      </c>
      <c r="H17" s="3">
        <f t="shared" si="3"/>
        <v>1.5</v>
      </c>
      <c r="I17" t="s">
        <v>29</v>
      </c>
      <c r="K17" s="3"/>
    </row>
    <row r="18" spans="1:11" x14ac:dyDescent="0.4">
      <c r="A18" s="4">
        <v>45942</v>
      </c>
      <c r="B18" t="s">
        <v>25</v>
      </c>
      <c r="C18" t="s">
        <v>22</v>
      </c>
      <c r="D18" t="s">
        <v>6</v>
      </c>
      <c r="E18" t="s">
        <v>23</v>
      </c>
      <c r="F18" s="2">
        <v>0.39583333333333331</v>
      </c>
      <c r="G18" s="2">
        <v>0.45833333333333331</v>
      </c>
      <c r="H18" s="3">
        <f t="shared" si="3"/>
        <v>1.5</v>
      </c>
      <c r="I18" t="s">
        <v>29</v>
      </c>
      <c r="K18" s="3"/>
    </row>
    <row r="19" spans="1:11" x14ac:dyDescent="0.4">
      <c r="A19" s="4">
        <v>45942</v>
      </c>
      <c r="B19" t="s">
        <v>25</v>
      </c>
      <c r="C19" t="s">
        <v>16</v>
      </c>
      <c r="D19" t="s">
        <v>6</v>
      </c>
      <c r="E19" t="s">
        <v>17</v>
      </c>
      <c r="F19" s="2">
        <v>0.45833333333333331</v>
      </c>
      <c r="G19" s="2">
        <v>0.5625</v>
      </c>
      <c r="H19" s="3">
        <f t="shared" si="3"/>
        <v>2.5000000000000004</v>
      </c>
      <c r="I19" t="s">
        <v>38</v>
      </c>
      <c r="K19" s="3"/>
    </row>
    <row r="20" spans="1:11" x14ac:dyDescent="0.4">
      <c r="A20" s="4">
        <v>45942</v>
      </c>
      <c r="B20" t="s">
        <v>39</v>
      </c>
      <c r="C20" t="s">
        <v>22</v>
      </c>
      <c r="D20" t="s">
        <v>6</v>
      </c>
      <c r="E20" t="s">
        <v>40</v>
      </c>
      <c r="F20" s="2">
        <v>0.6875</v>
      </c>
      <c r="G20" s="2">
        <v>0.75</v>
      </c>
      <c r="H20" s="3">
        <f t="shared" si="3"/>
        <v>1.5</v>
      </c>
      <c r="I20" t="s">
        <v>29</v>
      </c>
      <c r="K20" s="3"/>
    </row>
    <row r="21" spans="1:11" x14ac:dyDescent="0.4">
      <c r="A21" s="4">
        <v>45943</v>
      </c>
      <c r="B21" t="s">
        <v>27</v>
      </c>
      <c r="C21" t="s">
        <v>41</v>
      </c>
      <c r="D21" t="s">
        <v>2</v>
      </c>
      <c r="E21" t="s">
        <v>35</v>
      </c>
      <c r="F21" s="2">
        <v>0.3611111111111111</v>
      </c>
      <c r="G21" s="2">
        <v>0.375</v>
      </c>
      <c r="H21" s="3">
        <f t="shared" si="3"/>
        <v>0.33333333333333348</v>
      </c>
      <c r="I21" t="s">
        <v>32</v>
      </c>
      <c r="K21" s="3"/>
    </row>
    <row r="22" spans="1:11" x14ac:dyDescent="0.4">
      <c r="A22" s="4">
        <v>45943</v>
      </c>
      <c r="B22" t="s">
        <v>27</v>
      </c>
      <c r="C22" t="s">
        <v>30</v>
      </c>
      <c r="D22" t="s">
        <v>31</v>
      </c>
      <c r="E22" t="s">
        <v>36</v>
      </c>
      <c r="F22" s="2">
        <v>0.38541666666666669</v>
      </c>
      <c r="G22" s="2">
        <v>0.42708333333333331</v>
      </c>
      <c r="H22" s="3">
        <f t="shared" si="3"/>
        <v>0.99999999999999911</v>
      </c>
      <c r="I22" t="s">
        <v>32</v>
      </c>
      <c r="K22" s="3"/>
    </row>
    <row r="23" spans="1:11" x14ac:dyDescent="0.4">
      <c r="A23" s="4">
        <v>45943</v>
      </c>
      <c r="B23" t="s">
        <v>27</v>
      </c>
      <c r="C23" t="s">
        <v>15</v>
      </c>
      <c r="D23" t="s">
        <v>31</v>
      </c>
      <c r="E23" s="9" t="s">
        <v>36</v>
      </c>
      <c r="F23" s="2">
        <v>0.44791666666666669</v>
      </c>
      <c r="G23" s="2">
        <v>0.51041666666666663</v>
      </c>
      <c r="H23" s="3">
        <f t="shared" si="3"/>
        <v>1.4999999999999987</v>
      </c>
      <c r="I23" t="s">
        <v>32</v>
      </c>
      <c r="K23" s="3"/>
    </row>
    <row r="24" spans="1:11" x14ac:dyDescent="0.4">
      <c r="A24" s="4">
        <v>45943</v>
      </c>
      <c r="B24" t="s">
        <v>27</v>
      </c>
      <c r="C24" t="s">
        <v>22</v>
      </c>
      <c r="D24" t="s">
        <v>6</v>
      </c>
      <c r="E24" s="8" t="s">
        <v>40</v>
      </c>
      <c r="F24" s="2">
        <v>0.58333333333333337</v>
      </c>
      <c r="G24" s="2">
        <v>0.63541666666666663</v>
      </c>
      <c r="H24" s="3">
        <f t="shared" si="3"/>
        <v>1.2499999999999982</v>
      </c>
      <c r="I24" t="s">
        <v>29</v>
      </c>
      <c r="K24" s="3"/>
    </row>
    <row r="25" spans="1:11" x14ac:dyDescent="0.4">
      <c r="A25" s="4">
        <v>45943</v>
      </c>
      <c r="B25" t="s">
        <v>27</v>
      </c>
      <c r="C25" t="s">
        <v>41</v>
      </c>
      <c r="D25" t="s">
        <v>2</v>
      </c>
      <c r="E25" t="s">
        <v>35</v>
      </c>
      <c r="F25" s="2">
        <v>0.6875</v>
      </c>
      <c r="G25" s="2">
        <v>0.76041666666666663</v>
      </c>
      <c r="H25" s="3">
        <f t="shared" si="3"/>
        <v>1.7499999999999991</v>
      </c>
      <c r="I25" t="s">
        <v>32</v>
      </c>
      <c r="K25" s="3"/>
    </row>
    <row r="26" spans="1:11" x14ac:dyDescent="0.4">
      <c r="A26" s="4">
        <v>45944</v>
      </c>
      <c r="B26" t="s">
        <v>26</v>
      </c>
      <c r="C26" t="s">
        <v>41</v>
      </c>
      <c r="D26" t="s">
        <v>2</v>
      </c>
      <c r="E26" t="s">
        <v>35</v>
      </c>
      <c r="F26" s="2">
        <v>0.375</v>
      </c>
      <c r="G26" s="2">
        <v>0.60416666666666663</v>
      </c>
      <c r="H26" s="3">
        <f t="shared" si="3"/>
        <v>5.4999999999999991</v>
      </c>
      <c r="I26" t="s">
        <v>32</v>
      </c>
      <c r="K26" s="3"/>
    </row>
    <row r="27" spans="1:11" x14ac:dyDescent="0.4">
      <c r="A27" s="4">
        <v>45944</v>
      </c>
      <c r="B27" t="s">
        <v>26</v>
      </c>
      <c r="C27" t="s">
        <v>22</v>
      </c>
      <c r="D27" t="s">
        <v>6</v>
      </c>
      <c r="E27" t="s">
        <v>40</v>
      </c>
      <c r="F27" s="2">
        <v>0.70833333333333337</v>
      </c>
      <c r="G27" s="2">
        <v>0.75</v>
      </c>
      <c r="H27" s="3">
        <f t="shared" si="3"/>
        <v>0.99999999999999911</v>
      </c>
      <c r="I27" t="s">
        <v>29</v>
      </c>
      <c r="K27" s="3"/>
    </row>
    <row r="28" spans="1:11" x14ac:dyDescent="0.4">
      <c r="A28" s="4">
        <v>45945</v>
      </c>
      <c r="B28" t="s">
        <v>20</v>
      </c>
      <c r="C28" t="s">
        <v>41</v>
      </c>
      <c r="D28" t="s">
        <v>34</v>
      </c>
      <c r="E28" s="8" t="s">
        <v>36</v>
      </c>
      <c r="F28" s="2">
        <v>0.42708333333333331</v>
      </c>
      <c r="G28" s="2">
        <v>0.5</v>
      </c>
      <c r="H28" s="3">
        <f t="shared" si="3"/>
        <v>1.7500000000000004</v>
      </c>
      <c r="I28" t="s">
        <v>32</v>
      </c>
      <c r="K28" s="3"/>
    </row>
    <row r="29" spans="1:11" x14ac:dyDescent="0.4">
      <c r="A29" s="4">
        <v>45945</v>
      </c>
      <c r="B29" t="s">
        <v>20</v>
      </c>
      <c r="C29" t="s">
        <v>22</v>
      </c>
      <c r="D29" t="s">
        <v>6</v>
      </c>
      <c r="E29" s="10" t="s">
        <v>40</v>
      </c>
      <c r="F29" s="2">
        <v>0.625</v>
      </c>
      <c r="G29" s="2">
        <v>0.66666666666666663</v>
      </c>
      <c r="H29" s="3">
        <f t="shared" si="3"/>
        <v>0.99999999999999911</v>
      </c>
      <c r="I29" s="10" t="s">
        <v>29</v>
      </c>
      <c r="K29" s="3"/>
    </row>
    <row r="30" spans="1:11" x14ac:dyDescent="0.4">
      <c r="A30" s="4">
        <v>45946</v>
      </c>
      <c r="B30" t="s">
        <v>19</v>
      </c>
      <c r="C30" t="s">
        <v>22</v>
      </c>
      <c r="D30" t="s">
        <v>6</v>
      </c>
      <c r="E30" s="10" t="s">
        <v>40</v>
      </c>
      <c r="F30" s="2">
        <v>0.41666666666666669</v>
      </c>
      <c r="G30" s="2">
        <v>0.47222222222222221</v>
      </c>
      <c r="H30" s="3">
        <f t="shared" si="3"/>
        <v>1.3333333333333326</v>
      </c>
      <c r="I30" t="s">
        <v>29</v>
      </c>
      <c r="K30" s="3"/>
    </row>
    <row r="31" spans="1:11" x14ac:dyDescent="0.4">
      <c r="A31" s="4">
        <v>45949</v>
      </c>
      <c r="B31" t="s">
        <v>25</v>
      </c>
      <c r="C31" t="s">
        <v>22</v>
      </c>
      <c r="D31" t="s">
        <v>6</v>
      </c>
      <c r="E31" s="10" t="s">
        <v>40</v>
      </c>
      <c r="F31" s="2">
        <v>0.41666666666666669</v>
      </c>
      <c r="G31" s="2">
        <v>0.45833333333333331</v>
      </c>
      <c r="H31" s="3">
        <f t="shared" si="3"/>
        <v>0.99999999999999911</v>
      </c>
      <c r="I31" t="s">
        <v>29</v>
      </c>
      <c r="K31" s="3"/>
    </row>
    <row r="32" spans="1:11" x14ac:dyDescent="0.4">
      <c r="A32" s="4">
        <v>45949</v>
      </c>
      <c r="B32" t="s">
        <v>25</v>
      </c>
      <c r="C32" t="s">
        <v>41</v>
      </c>
      <c r="D32" t="s">
        <v>2</v>
      </c>
      <c r="E32" t="s">
        <v>35</v>
      </c>
      <c r="F32" s="2">
        <v>0.45833333333333331</v>
      </c>
      <c r="G32" s="2">
        <v>0.67708333333333337</v>
      </c>
      <c r="H32" s="3">
        <f t="shared" si="3"/>
        <v>5.2500000000000018</v>
      </c>
      <c r="I32" t="s">
        <v>32</v>
      </c>
      <c r="K32" s="3"/>
    </row>
    <row r="33" spans="1:11" x14ac:dyDescent="0.4">
      <c r="A33" s="4">
        <v>45950</v>
      </c>
      <c r="B33" t="s">
        <v>27</v>
      </c>
      <c r="C33" t="s">
        <v>22</v>
      </c>
      <c r="D33" t="s">
        <v>6</v>
      </c>
      <c r="E33" s="10" t="s">
        <v>40</v>
      </c>
      <c r="F33" s="2">
        <v>0.41666666666666669</v>
      </c>
      <c r="G33" s="2">
        <v>0.45833333333333331</v>
      </c>
      <c r="H33" s="3">
        <f t="shared" si="3"/>
        <v>0.99999999999999911</v>
      </c>
      <c r="I33" t="s">
        <v>29</v>
      </c>
      <c r="K33" s="3"/>
    </row>
    <row r="34" spans="1:11" x14ac:dyDescent="0.4">
      <c r="A34" s="4">
        <v>45951</v>
      </c>
      <c r="B34" t="s">
        <v>26</v>
      </c>
      <c r="C34" t="s">
        <v>22</v>
      </c>
      <c r="D34" t="s">
        <v>6</v>
      </c>
      <c r="E34" s="10" t="s">
        <v>40</v>
      </c>
      <c r="F34" s="2">
        <v>0.41666666666666669</v>
      </c>
      <c r="G34" s="2">
        <v>0.5625</v>
      </c>
      <c r="H34" s="3">
        <f t="shared" si="3"/>
        <v>3.4999999999999996</v>
      </c>
      <c r="I34" t="s">
        <v>29</v>
      </c>
      <c r="K34" s="3"/>
    </row>
    <row r="35" spans="1:11" x14ac:dyDescent="0.4">
      <c r="A35" s="4">
        <v>45952</v>
      </c>
      <c r="B35" t="s">
        <v>20</v>
      </c>
      <c r="C35" t="s">
        <v>41</v>
      </c>
      <c r="D35" t="s">
        <v>34</v>
      </c>
      <c r="E35" s="8" t="s">
        <v>36</v>
      </c>
      <c r="F35" s="2">
        <v>0.42708333333333331</v>
      </c>
      <c r="G35" s="2">
        <v>0.5</v>
      </c>
      <c r="H35" s="3">
        <f t="shared" si="3"/>
        <v>1.7500000000000004</v>
      </c>
      <c r="I35" t="s">
        <v>32</v>
      </c>
      <c r="K35" s="3"/>
    </row>
    <row r="36" spans="1:11" x14ac:dyDescent="0.4">
      <c r="A36" s="4">
        <v>45952</v>
      </c>
      <c r="B36" t="s">
        <v>20</v>
      </c>
      <c r="C36" t="s">
        <v>41</v>
      </c>
      <c r="D36" t="s">
        <v>2</v>
      </c>
      <c r="E36" t="s">
        <v>35</v>
      </c>
      <c r="F36" s="2">
        <v>0.54166666666666663</v>
      </c>
      <c r="G36" s="2">
        <v>0.58333333333333337</v>
      </c>
      <c r="H36" s="3">
        <f t="shared" si="3"/>
        <v>1.0000000000000018</v>
      </c>
      <c r="I36" t="s">
        <v>32</v>
      </c>
      <c r="K36" s="3"/>
    </row>
    <row r="37" spans="1:11" x14ac:dyDescent="0.4">
      <c r="A37" s="4">
        <v>45952</v>
      </c>
      <c r="B37" t="s">
        <v>20</v>
      </c>
      <c r="C37" t="s">
        <v>41</v>
      </c>
      <c r="D37" s="9" t="s">
        <v>2</v>
      </c>
      <c r="E37" s="9" t="s">
        <v>35</v>
      </c>
      <c r="F37" s="11">
        <v>0.625</v>
      </c>
      <c r="G37" s="2">
        <v>0.6875</v>
      </c>
      <c r="H37" s="3">
        <f t="shared" ref="H37:H68" si="4">IF(AND(F37&lt;&gt;"",G37&lt;&gt;""),(G37-F37)*24,"")</f>
        <v>1.5</v>
      </c>
      <c r="I37" t="s">
        <v>32</v>
      </c>
      <c r="K37" s="3"/>
    </row>
    <row r="38" spans="1:11" x14ac:dyDescent="0.4">
      <c r="A38" s="4">
        <v>45953</v>
      </c>
      <c r="B38" t="s">
        <v>19</v>
      </c>
      <c r="C38" t="s">
        <v>22</v>
      </c>
      <c r="D38" t="s">
        <v>6</v>
      </c>
      <c r="E38" s="10" t="s">
        <v>40</v>
      </c>
      <c r="F38" s="2">
        <v>0.375</v>
      </c>
      <c r="G38" s="2">
        <v>0.45833333333333331</v>
      </c>
      <c r="H38" s="3">
        <f t="shared" si="4"/>
        <v>1.9999999999999996</v>
      </c>
      <c r="I38" t="s">
        <v>29</v>
      </c>
      <c r="K38" s="3"/>
    </row>
    <row r="39" spans="1:11" x14ac:dyDescent="0.4">
      <c r="A39" s="4">
        <v>45953</v>
      </c>
      <c r="B39" t="s">
        <v>19</v>
      </c>
      <c r="C39" t="s">
        <v>41</v>
      </c>
      <c r="D39" t="s">
        <v>2</v>
      </c>
      <c r="E39" s="9" t="s">
        <v>35</v>
      </c>
      <c r="F39" s="2">
        <v>0.47916666666666669</v>
      </c>
      <c r="G39" s="2">
        <v>0.5625</v>
      </c>
      <c r="H39" s="3">
        <f t="shared" si="4"/>
        <v>1.9999999999999996</v>
      </c>
      <c r="I39" t="s">
        <v>32</v>
      </c>
      <c r="K39" s="3"/>
    </row>
    <row r="40" spans="1:11" x14ac:dyDescent="0.4">
      <c r="A40" s="4">
        <v>45954</v>
      </c>
      <c r="B40" t="s">
        <v>28</v>
      </c>
      <c r="C40" t="s">
        <v>22</v>
      </c>
      <c r="D40" t="s">
        <v>2</v>
      </c>
      <c r="E40" s="9" t="s">
        <v>35</v>
      </c>
      <c r="F40" s="2">
        <v>0.58333333333333337</v>
      </c>
      <c r="G40" s="2">
        <v>0.70833333333333337</v>
      </c>
      <c r="H40" s="3">
        <f t="shared" si="4"/>
        <v>3</v>
      </c>
      <c r="I40" t="s">
        <v>29</v>
      </c>
      <c r="K40" s="3"/>
    </row>
    <row r="41" spans="1:11" x14ac:dyDescent="0.4">
      <c r="A41" s="4">
        <v>45955</v>
      </c>
      <c r="B41" t="s">
        <v>24</v>
      </c>
      <c r="C41" t="s">
        <v>22</v>
      </c>
      <c r="D41" t="s">
        <v>6</v>
      </c>
      <c r="E41" t="s">
        <v>43</v>
      </c>
      <c r="F41" s="2">
        <v>0.41666666666666669</v>
      </c>
      <c r="G41" s="2">
        <v>0.47916666666666669</v>
      </c>
      <c r="H41" s="3">
        <f t="shared" si="4"/>
        <v>1.5</v>
      </c>
      <c r="I41" t="s">
        <v>44</v>
      </c>
      <c r="K41" s="3"/>
    </row>
    <row r="42" spans="1:11" x14ac:dyDescent="0.4">
      <c r="A42" s="4">
        <v>45957</v>
      </c>
      <c r="B42" t="s">
        <v>27</v>
      </c>
      <c r="C42" t="s">
        <v>45</v>
      </c>
      <c r="D42" t="s">
        <v>2</v>
      </c>
      <c r="E42" s="9" t="s">
        <v>35</v>
      </c>
      <c r="F42" s="2">
        <v>0.39583333333333331</v>
      </c>
      <c r="G42" s="2">
        <v>0.58333333333333337</v>
      </c>
      <c r="H42" s="3">
        <f t="shared" si="4"/>
        <v>4.5000000000000018</v>
      </c>
      <c r="I42" t="s">
        <v>32</v>
      </c>
      <c r="K42" s="3"/>
    </row>
    <row r="43" spans="1:11" x14ac:dyDescent="0.4">
      <c r="A43" s="4">
        <v>45957</v>
      </c>
      <c r="B43" t="s">
        <v>27</v>
      </c>
      <c r="C43" t="s">
        <v>45</v>
      </c>
      <c r="D43" t="s">
        <v>2</v>
      </c>
      <c r="E43" s="9" t="s">
        <v>35</v>
      </c>
      <c r="F43" s="2">
        <v>0.625</v>
      </c>
      <c r="G43" s="2">
        <v>0.70833333333333337</v>
      </c>
      <c r="H43" s="3">
        <f t="shared" si="4"/>
        <v>2.0000000000000009</v>
      </c>
      <c r="I43" t="s">
        <v>32</v>
      </c>
      <c r="K43" s="3"/>
    </row>
    <row r="44" spans="1:11" x14ac:dyDescent="0.4">
      <c r="A44" s="4">
        <v>45958</v>
      </c>
      <c r="B44" t="s">
        <v>26</v>
      </c>
      <c r="C44" t="s">
        <v>45</v>
      </c>
      <c r="D44" t="s">
        <v>2</v>
      </c>
      <c r="E44" s="9" t="s">
        <v>35</v>
      </c>
      <c r="F44" s="2">
        <v>0.375</v>
      </c>
      <c r="G44" s="2">
        <v>0.52083333333333337</v>
      </c>
      <c r="H44" s="3">
        <f t="shared" si="4"/>
        <v>3.5000000000000009</v>
      </c>
      <c r="I44" t="s">
        <v>32</v>
      </c>
      <c r="K44" s="3"/>
    </row>
    <row r="45" spans="1:11" x14ac:dyDescent="0.4">
      <c r="A45" s="4">
        <v>45958</v>
      </c>
      <c r="B45" t="s">
        <v>26</v>
      </c>
      <c r="C45" t="s">
        <v>45</v>
      </c>
      <c r="D45" t="s">
        <v>34</v>
      </c>
      <c r="E45" s="8" t="s">
        <v>36</v>
      </c>
      <c r="F45" s="2">
        <v>0.55208333333333337</v>
      </c>
      <c r="G45" s="2">
        <v>0.625</v>
      </c>
      <c r="H45" s="3">
        <f t="shared" si="4"/>
        <v>1.7499999999999991</v>
      </c>
      <c r="I45" t="s">
        <v>32</v>
      </c>
      <c r="K45" s="3"/>
    </row>
    <row r="46" spans="1:11" x14ac:dyDescent="0.4">
      <c r="A46" s="4">
        <v>45959</v>
      </c>
      <c r="B46" t="s">
        <v>20</v>
      </c>
      <c r="C46" t="s">
        <v>45</v>
      </c>
      <c r="D46" t="s">
        <v>2</v>
      </c>
      <c r="E46" s="9" t="s">
        <v>35</v>
      </c>
      <c r="F46" s="2">
        <v>0.375</v>
      </c>
      <c r="G46" s="2">
        <v>0.41666666666666669</v>
      </c>
      <c r="H46" s="3">
        <f t="shared" si="4"/>
        <v>1.0000000000000004</v>
      </c>
      <c r="I46" t="s">
        <v>46</v>
      </c>
      <c r="K46" s="3"/>
    </row>
    <row r="47" spans="1:11" x14ac:dyDescent="0.4">
      <c r="A47" s="4">
        <v>45959</v>
      </c>
      <c r="B47" t="s">
        <v>20</v>
      </c>
      <c r="C47" t="s">
        <v>41</v>
      </c>
      <c r="D47" t="s">
        <v>34</v>
      </c>
      <c r="E47" s="8" t="s">
        <v>36</v>
      </c>
      <c r="F47" s="2">
        <v>0.42708333333333331</v>
      </c>
      <c r="G47" s="2">
        <v>0.48958333333333331</v>
      </c>
      <c r="H47" s="3">
        <f t="shared" si="4"/>
        <v>1.5</v>
      </c>
      <c r="I47" t="s">
        <v>32</v>
      </c>
      <c r="K47" s="3"/>
    </row>
    <row r="48" spans="1:11" x14ac:dyDescent="0.4">
      <c r="A48" s="4">
        <v>45959</v>
      </c>
      <c r="B48" t="s">
        <v>20</v>
      </c>
      <c r="C48" t="s">
        <v>45</v>
      </c>
      <c r="D48" t="s">
        <v>2</v>
      </c>
      <c r="E48" s="9" t="s">
        <v>35</v>
      </c>
      <c r="F48" s="2">
        <v>0.5</v>
      </c>
      <c r="G48" s="2">
        <v>0.58333333333333337</v>
      </c>
      <c r="H48" s="3">
        <f t="shared" si="4"/>
        <v>2.0000000000000009</v>
      </c>
      <c r="I48" t="s">
        <v>32</v>
      </c>
      <c r="K48" s="3"/>
    </row>
    <row r="49" spans="1:11" x14ac:dyDescent="0.4">
      <c r="A49" s="4">
        <v>45960</v>
      </c>
      <c r="B49" t="s">
        <v>19</v>
      </c>
      <c r="C49" t="s">
        <v>45</v>
      </c>
      <c r="D49" t="s">
        <v>6</v>
      </c>
      <c r="E49" t="s">
        <v>33</v>
      </c>
      <c r="F49" s="2">
        <v>0.47916666666666669</v>
      </c>
      <c r="G49" s="2">
        <v>0.58333333333333337</v>
      </c>
      <c r="H49" s="3">
        <f t="shared" si="4"/>
        <v>2.5000000000000004</v>
      </c>
      <c r="I49" t="s">
        <v>32</v>
      </c>
      <c r="K49" s="3"/>
    </row>
    <row r="50" spans="1:11" x14ac:dyDescent="0.4">
      <c r="A50" s="4">
        <v>45960</v>
      </c>
      <c r="B50" t="s">
        <v>19</v>
      </c>
      <c r="C50" t="s">
        <v>45</v>
      </c>
      <c r="D50" t="s">
        <v>6</v>
      </c>
      <c r="E50" t="s">
        <v>33</v>
      </c>
      <c r="F50" s="2">
        <v>0.6875</v>
      </c>
      <c r="G50" s="2">
        <v>0.875</v>
      </c>
      <c r="H50" s="3">
        <f t="shared" si="4"/>
        <v>4.5</v>
      </c>
      <c r="I50" t="s">
        <v>32</v>
      </c>
      <c r="K50" s="3"/>
    </row>
    <row r="51" spans="1:11" x14ac:dyDescent="0.4">
      <c r="F51" s="2"/>
      <c r="G51" s="2"/>
      <c r="H51" s="3" t="str">
        <f t="shared" si="4"/>
        <v/>
      </c>
    </row>
    <row r="52" spans="1:11" x14ac:dyDescent="0.4">
      <c r="F52" s="2"/>
      <c r="G52" s="2"/>
      <c r="H52" s="3" t="str">
        <f t="shared" si="4"/>
        <v/>
      </c>
    </row>
    <row r="53" spans="1:11" x14ac:dyDescent="0.4">
      <c r="F53" s="2"/>
      <c r="G53" s="2"/>
      <c r="H53" s="3" t="str">
        <f t="shared" si="4"/>
        <v/>
      </c>
    </row>
    <row r="54" spans="1:11" x14ac:dyDescent="0.4">
      <c r="F54" s="2"/>
      <c r="G54" s="2"/>
      <c r="H54" s="3" t="str">
        <f t="shared" si="4"/>
        <v/>
      </c>
    </row>
    <row r="55" spans="1:11" x14ac:dyDescent="0.4">
      <c r="F55" s="2"/>
      <c r="G55" s="2"/>
      <c r="H55" s="3" t="str">
        <f t="shared" si="4"/>
        <v/>
      </c>
    </row>
    <row r="56" spans="1:11" x14ac:dyDescent="0.4">
      <c r="F56" s="2"/>
      <c r="G56" s="2"/>
      <c r="H56" s="3" t="str">
        <f t="shared" si="4"/>
        <v/>
      </c>
    </row>
    <row r="57" spans="1:11" x14ac:dyDescent="0.4">
      <c r="F57" s="2"/>
      <c r="G57" s="2"/>
      <c r="H57" s="3" t="str">
        <f t="shared" si="4"/>
        <v/>
      </c>
    </row>
    <row r="58" spans="1:11" x14ac:dyDescent="0.4">
      <c r="F58" s="2"/>
      <c r="G58" s="2"/>
      <c r="H58" s="3" t="str">
        <f t="shared" si="4"/>
        <v/>
      </c>
    </row>
    <row r="59" spans="1:11" x14ac:dyDescent="0.4">
      <c r="F59" s="2"/>
      <c r="G59" s="2"/>
      <c r="H59" s="3" t="str">
        <f t="shared" si="4"/>
        <v/>
      </c>
    </row>
    <row r="60" spans="1:11" x14ac:dyDescent="0.4">
      <c r="F60" s="2"/>
      <c r="G60" s="2"/>
      <c r="H60" s="3" t="str">
        <f t="shared" si="4"/>
        <v/>
      </c>
    </row>
    <row r="61" spans="1:11" x14ac:dyDescent="0.4">
      <c r="F61" s="2"/>
      <c r="G61" s="2"/>
      <c r="H61" s="3" t="str">
        <f t="shared" si="4"/>
        <v/>
      </c>
    </row>
    <row r="62" spans="1:11" x14ac:dyDescent="0.4">
      <c r="F62" s="2"/>
      <c r="G62" s="2"/>
      <c r="H62" s="3" t="str">
        <f t="shared" si="4"/>
        <v/>
      </c>
    </row>
    <row r="63" spans="1:11" x14ac:dyDescent="0.4">
      <c r="F63" s="2"/>
      <c r="G63" s="2"/>
      <c r="H63" s="3" t="str">
        <f t="shared" si="4"/>
        <v/>
      </c>
    </row>
    <row r="64" spans="1:11" x14ac:dyDescent="0.4">
      <c r="F64" s="2"/>
      <c r="G64" s="2"/>
      <c r="H64" s="3" t="str">
        <f t="shared" si="4"/>
        <v/>
      </c>
    </row>
    <row r="65" spans="6:8" x14ac:dyDescent="0.4">
      <c r="F65" s="2"/>
      <c r="G65" s="2"/>
      <c r="H65" s="3" t="str">
        <f t="shared" si="4"/>
        <v/>
      </c>
    </row>
    <row r="66" spans="6:8" x14ac:dyDescent="0.4">
      <c r="F66" s="2"/>
      <c r="G66" s="2"/>
      <c r="H66" s="3" t="str">
        <f t="shared" si="4"/>
        <v/>
      </c>
    </row>
    <row r="67" spans="6:8" x14ac:dyDescent="0.4">
      <c r="F67" s="2"/>
      <c r="G67" s="2"/>
      <c r="H67" s="3" t="str">
        <f t="shared" si="4"/>
        <v/>
      </c>
    </row>
    <row r="68" spans="6:8" x14ac:dyDescent="0.4">
      <c r="F68" s="2"/>
      <c r="G68" s="2"/>
      <c r="H68" s="3" t="str">
        <f t="shared" si="4"/>
        <v/>
      </c>
    </row>
    <row r="69" spans="6:8" x14ac:dyDescent="0.4">
      <c r="F69" s="2"/>
      <c r="G69" s="2"/>
      <c r="H69" s="3" t="str">
        <f t="shared" ref="H69:H100" si="5">IF(AND(F69&lt;&gt;"",G69&lt;&gt;""),(G69-F69)*24,"")</f>
        <v/>
      </c>
    </row>
    <row r="70" spans="6:8" x14ac:dyDescent="0.4">
      <c r="F70" s="2"/>
      <c r="G70" s="2"/>
      <c r="H70" s="3" t="str">
        <f t="shared" si="5"/>
        <v/>
      </c>
    </row>
    <row r="71" spans="6:8" x14ac:dyDescent="0.4">
      <c r="F71" s="2"/>
      <c r="G71" s="2"/>
      <c r="H71" s="3" t="str">
        <f t="shared" si="5"/>
        <v/>
      </c>
    </row>
    <row r="72" spans="6:8" x14ac:dyDescent="0.4">
      <c r="F72" s="2"/>
      <c r="G72" s="2"/>
      <c r="H72" s="3" t="str">
        <f t="shared" si="5"/>
        <v/>
      </c>
    </row>
    <row r="73" spans="6:8" x14ac:dyDescent="0.4">
      <c r="F73" s="2"/>
      <c r="G73" s="2"/>
      <c r="H73" s="3" t="str">
        <f t="shared" si="5"/>
        <v/>
      </c>
    </row>
    <row r="74" spans="6:8" x14ac:dyDescent="0.4">
      <c r="F74" s="2"/>
      <c r="G74" s="2"/>
      <c r="H74" s="3" t="str">
        <f t="shared" si="5"/>
        <v/>
      </c>
    </row>
    <row r="75" spans="6:8" x14ac:dyDescent="0.4">
      <c r="F75" s="2"/>
      <c r="G75" s="2"/>
      <c r="H75" s="3" t="str">
        <f t="shared" si="5"/>
        <v/>
      </c>
    </row>
    <row r="76" spans="6:8" x14ac:dyDescent="0.4">
      <c r="F76" s="2"/>
      <c r="G76" s="2"/>
      <c r="H76" s="3" t="str">
        <f t="shared" si="5"/>
        <v/>
      </c>
    </row>
    <row r="77" spans="6:8" x14ac:dyDescent="0.4">
      <c r="F77" s="2"/>
      <c r="G77" s="2"/>
      <c r="H77" s="3" t="str">
        <f t="shared" si="5"/>
        <v/>
      </c>
    </row>
    <row r="78" spans="6:8" x14ac:dyDescent="0.4">
      <c r="F78" s="2"/>
      <c r="G78" s="2"/>
      <c r="H78" s="3" t="str">
        <f t="shared" si="5"/>
        <v/>
      </c>
    </row>
    <row r="79" spans="6:8" x14ac:dyDescent="0.4">
      <c r="F79" s="2"/>
      <c r="G79" s="2"/>
      <c r="H79" s="3" t="str">
        <f t="shared" si="5"/>
        <v/>
      </c>
    </row>
    <row r="80" spans="6:8" x14ac:dyDescent="0.4">
      <c r="F80" s="2"/>
      <c r="G80" s="2"/>
      <c r="H80" s="3" t="str">
        <f t="shared" si="5"/>
        <v/>
      </c>
    </row>
    <row r="81" spans="6:8" x14ac:dyDescent="0.4">
      <c r="F81" s="2"/>
      <c r="G81" s="2"/>
      <c r="H81" s="3" t="str">
        <f t="shared" si="5"/>
        <v/>
      </c>
    </row>
    <row r="82" spans="6:8" x14ac:dyDescent="0.4">
      <c r="F82" s="2"/>
      <c r="G82" s="2"/>
      <c r="H82" s="3" t="str">
        <f t="shared" si="5"/>
        <v/>
      </c>
    </row>
    <row r="83" spans="6:8" x14ac:dyDescent="0.4">
      <c r="F83" s="2"/>
      <c r="G83" s="2"/>
      <c r="H83" s="3" t="str">
        <f t="shared" si="5"/>
        <v/>
      </c>
    </row>
    <row r="84" spans="6:8" x14ac:dyDescent="0.4">
      <c r="F84" s="2"/>
      <c r="G84" s="2"/>
      <c r="H84" s="3" t="str">
        <f t="shared" si="5"/>
        <v/>
      </c>
    </row>
    <row r="85" spans="6:8" x14ac:dyDescent="0.4">
      <c r="F85" s="2"/>
      <c r="G85" s="2"/>
      <c r="H85" s="3" t="str">
        <f t="shared" si="5"/>
        <v/>
      </c>
    </row>
    <row r="86" spans="6:8" x14ac:dyDescent="0.4">
      <c r="F86" s="2"/>
      <c r="G86" s="2"/>
      <c r="H86" s="3" t="str">
        <f t="shared" si="5"/>
        <v/>
      </c>
    </row>
    <row r="87" spans="6:8" x14ac:dyDescent="0.4">
      <c r="F87" s="2"/>
      <c r="G87" s="2"/>
      <c r="H87" s="3" t="str">
        <f t="shared" si="5"/>
        <v/>
      </c>
    </row>
    <row r="88" spans="6:8" x14ac:dyDescent="0.4">
      <c r="F88" s="2"/>
      <c r="G88" s="2"/>
      <c r="H88" s="3" t="str">
        <f t="shared" si="5"/>
        <v/>
      </c>
    </row>
    <row r="89" spans="6:8" x14ac:dyDescent="0.4">
      <c r="F89" s="2"/>
      <c r="G89" s="2"/>
      <c r="H89" s="3" t="str">
        <f t="shared" si="5"/>
        <v/>
      </c>
    </row>
    <row r="90" spans="6:8" x14ac:dyDescent="0.4">
      <c r="F90" s="2"/>
      <c r="G90" s="2"/>
      <c r="H90" s="3" t="str">
        <f t="shared" si="5"/>
        <v/>
      </c>
    </row>
    <row r="91" spans="6:8" x14ac:dyDescent="0.4">
      <c r="F91" s="2"/>
      <c r="G91" s="2"/>
      <c r="H91" s="3" t="str">
        <f t="shared" si="5"/>
        <v/>
      </c>
    </row>
    <row r="92" spans="6:8" x14ac:dyDescent="0.4">
      <c r="F92" s="2"/>
      <c r="G92" s="2"/>
      <c r="H92" s="3" t="str">
        <f t="shared" si="5"/>
        <v/>
      </c>
    </row>
    <row r="93" spans="6:8" x14ac:dyDescent="0.4">
      <c r="F93" s="2"/>
      <c r="G93" s="2"/>
      <c r="H93" s="3" t="str">
        <f t="shared" si="5"/>
        <v/>
      </c>
    </row>
    <row r="94" spans="6:8" x14ac:dyDescent="0.4">
      <c r="F94" s="2"/>
      <c r="G94" s="2"/>
      <c r="H94" s="3" t="str">
        <f t="shared" si="5"/>
        <v/>
      </c>
    </row>
    <row r="95" spans="6:8" x14ac:dyDescent="0.4">
      <c r="F95" s="2"/>
      <c r="G95" s="2"/>
      <c r="H95" s="3" t="str">
        <f t="shared" si="5"/>
        <v/>
      </c>
    </row>
    <row r="96" spans="6:8" x14ac:dyDescent="0.4">
      <c r="F96" s="2"/>
      <c r="G96" s="2"/>
      <c r="H96" s="3" t="str">
        <f t="shared" si="5"/>
        <v/>
      </c>
    </row>
    <row r="97" spans="6:8" x14ac:dyDescent="0.4">
      <c r="F97" s="2"/>
      <c r="G97" s="2"/>
      <c r="H97" s="3" t="str">
        <f t="shared" si="5"/>
        <v/>
      </c>
    </row>
    <row r="98" spans="6:8" x14ac:dyDescent="0.4">
      <c r="F98" s="2"/>
      <c r="G98" s="2"/>
      <c r="H98" s="3" t="str">
        <f t="shared" si="5"/>
        <v/>
      </c>
    </row>
    <row r="99" spans="6:8" x14ac:dyDescent="0.4">
      <c r="F99" s="2"/>
      <c r="G99" s="2"/>
      <c r="H99" s="3" t="str">
        <f t="shared" si="5"/>
        <v/>
      </c>
    </row>
    <row r="100" spans="6:8" x14ac:dyDescent="0.4">
      <c r="F100" s="2"/>
      <c r="G100" s="2"/>
      <c r="H100" s="3" t="str">
        <f t="shared" si="5"/>
        <v/>
      </c>
    </row>
    <row r="101" spans="6:8" x14ac:dyDescent="0.4">
      <c r="F101" s="2"/>
      <c r="G101" s="2"/>
      <c r="H101" s="3" t="str">
        <f t="shared" ref="H101:H132" si="6">IF(AND(F101&lt;&gt;"",G101&lt;&gt;""),(G101-F101)*24,"")</f>
        <v/>
      </c>
    </row>
    <row r="102" spans="6:8" x14ac:dyDescent="0.4">
      <c r="F102" s="2"/>
      <c r="G102" s="2"/>
      <c r="H102" s="3" t="str">
        <f t="shared" si="6"/>
        <v/>
      </c>
    </row>
    <row r="103" spans="6:8" x14ac:dyDescent="0.4">
      <c r="F103" s="2"/>
      <c r="G103" s="2"/>
      <c r="H103" s="3" t="str">
        <f t="shared" si="6"/>
        <v/>
      </c>
    </row>
    <row r="104" spans="6:8" x14ac:dyDescent="0.4">
      <c r="F104" s="2"/>
      <c r="G104" s="2"/>
      <c r="H104" s="3" t="str">
        <f t="shared" si="6"/>
        <v/>
      </c>
    </row>
    <row r="105" spans="6:8" x14ac:dyDescent="0.4">
      <c r="F105" s="2"/>
      <c r="G105" s="2"/>
      <c r="H105" s="3" t="str">
        <f t="shared" si="6"/>
        <v/>
      </c>
    </row>
    <row r="106" spans="6:8" x14ac:dyDescent="0.4">
      <c r="F106" s="2"/>
      <c r="G106" s="2"/>
      <c r="H106" s="3" t="str">
        <f t="shared" si="6"/>
        <v/>
      </c>
    </row>
    <row r="107" spans="6:8" x14ac:dyDescent="0.4">
      <c r="F107" s="2"/>
      <c r="G107" s="2"/>
      <c r="H107" s="3" t="str">
        <f t="shared" si="6"/>
        <v/>
      </c>
    </row>
    <row r="108" spans="6:8" x14ac:dyDescent="0.4">
      <c r="F108" s="2"/>
      <c r="G108" s="2"/>
      <c r="H108" s="3" t="str">
        <f t="shared" si="6"/>
        <v/>
      </c>
    </row>
    <row r="109" spans="6:8" x14ac:dyDescent="0.4">
      <c r="F109" s="2"/>
      <c r="G109" s="2"/>
      <c r="H109" s="3" t="str">
        <f t="shared" si="6"/>
        <v/>
      </c>
    </row>
    <row r="110" spans="6:8" x14ac:dyDescent="0.4">
      <c r="F110" s="2"/>
      <c r="G110" s="2"/>
      <c r="H110" s="3" t="str">
        <f t="shared" si="6"/>
        <v/>
      </c>
    </row>
    <row r="111" spans="6:8" x14ac:dyDescent="0.4">
      <c r="F111" s="2"/>
      <c r="G111" s="2"/>
      <c r="H111" s="3" t="str">
        <f t="shared" si="6"/>
        <v/>
      </c>
    </row>
    <row r="112" spans="6:8" x14ac:dyDescent="0.4">
      <c r="F112" s="2"/>
      <c r="G112" s="2"/>
      <c r="H112" s="3" t="str">
        <f t="shared" si="6"/>
        <v/>
      </c>
    </row>
    <row r="113" spans="6:8" x14ac:dyDescent="0.4">
      <c r="F113" s="2"/>
      <c r="G113" s="2"/>
      <c r="H113" s="3" t="str">
        <f t="shared" si="6"/>
        <v/>
      </c>
    </row>
    <row r="114" spans="6:8" x14ac:dyDescent="0.4">
      <c r="F114" s="2"/>
      <c r="G114" s="2"/>
      <c r="H114" s="3" t="str">
        <f t="shared" si="6"/>
        <v/>
      </c>
    </row>
    <row r="115" spans="6:8" x14ac:dyDescent="0.4">
      <c r="F115" s="2"/>
      <c r="G115" s="2"/>
      <c r="H115" s="3" t="str">
        <f t="shared" si="6"/>
        <v/>
      </c>
    </row>
    <row r="116" spans="6:8" x14ac:dyDescent="0.4">
      <c r="F116" s="2"/>
      <c r="G116" s="2"/>
      <c r="H116" s="3" t="str">
        <f t="shared" si="6"/>
        <v/>
      </c>
    </row>
    <row r="117" spans="6:8" x14ac:dyDescent="0.4">
      <c r="F117" s="2"/>
      <c r="G117" s="2"/>
      <c r="H117" s="3" t="str">
        <f t="shared" si="6"/>
        <v/>
      </c>
    </row>
    <row r="118" spans="6:8" x14ac:dyDescent="0.4">
      <c r="F118" s="2"/>
      <c r="G118" s="2"/>
      <c r="H118" s="3" t="str">
        <f t="shared" si="6"/>
        <v/>
      </c>
    </row>
    <row r="119" spans="6:8" x14ac:dyDescent="0.4">
      <c r="F119" s="2"/>
      <c r="G119" s="2"/>
      <c r="H119" s="3" t="str">
        <f t="shared" si="6"/>
        <v/>
      </c>
    </row>
    <row r="120" spans="6:8" x14ac:dyDescent="0.4">
      <c r="F120" s="2"/>
      <c r="G120" s="2"/>
      <c r="H120" s="3" t="str">
        <f t="shared" si="6"/>
        <v/>
      </c>
    </row>
    <row r="121" spans="6:8" x14ac:dyDescent="0.4">
      <c r="F121" s="2"/>
      <c r="G121" s="2"/>
      <c r="H121" s="3" t="str">
        <f t="shared" si="6"/>
        <v/>
      </c>
    </row>
    <row r="122" spans="6:8" x14ac:dyDescent="0.4">
      <c r="F122" s="2"/>
      <c r="G122" s="2"/>
      <c r="H122" s="3" t="str">
        <f t="shared" si="6"/>
        <v/>
      </c>
    </row>
    <row r="123" spans="6:8" x14ac:dyDescent="0.4">
      <c r="F123" s="2"/>
      <c r="G123" s="2"/>
      <c r="H123" s="3" t="str">
        <f t="shared" si="6"/>
        <v/>
      </c>
    </row>
    <row r="124" spans="6:8" x14ac:dyDescent="0.4">
      <c r="F124" s="2"/>
      <c r="G124" s="2"/>
      <c r="H124" s="3" t="str">
        <f t="shared" si="6"/>
        <v/>
      </c>
    </row>
    <row r="125" spans="6:8" x14ac:dyDescent="0.4">
      <c r="F125" s="2"/>
      <c r="G125" s="2"/>
      <c r="H125" s="3" t="str">
        <f t="shared" si="6"/>
        <v/>
      </c>
    </row>
    <row r="126" spans="6:8" x14ac:dyDescent="0.4">
      <c r="F126" s="2"/>
      <c r="G126" s="2"/>
      <c r="H126" s="3" t="str">
        <f t="shared" si="6"/>
        <v/>
      </c>
    </row>
    <row r="127" spans="6:8" x14ac:dyDescent="0.4">
      <c r="F127" s="2"/>
      <c r="G127" s="2"/>
      <c r="H127" s="3" t="str">
        <f t="shared" si="6"/>
        <v/>
      </c>
    </row>
    <row r="128" spans="6:8" x14ac:dyDescent="0.4">
      <c r="F128" s="2"/>
      <c r="G128" s="2"/>
      <c r="H128" s="3" t="str">
        <f t="shared" si="6"/>
        <v/>
      </c>
    </row>
    <row r="129" spans="6:8" x14ac:dyDescent="0.4">
      <c r="F129" s="2"/>
      <c r="G129" s="2"/>
      <c r="H129" s="3" t="str">
        <f t="shared" si="6"/>
        <v/>
      </c>
    </row>
    <row r="130" spans="6:8" x14ac:dyDescent="0.4">
      <c r="F130" s="2"/>
      <c r="G130" s="2"/>
      <c r="H130" s="3" t="str">
        <f t="shared" si="6"/>
        <v/>
      </c>
    </row>
    <row r="131" spans="6:8" x14ac:dyDescent="0.4">
      <c r="F131" s="2"/>
      <c r="G131" s="2"/>
      <c r="H131" s="3" t="str">
        <f t="shared" si="6"/>
        <v/>
      </c>
    </row>
    <row r="132" spans="6:8" x14ac:dyDescent="0.4">
      <c r="F132" s="2"/>
      <c r="G132" s="2"/>
      <c r="H132" s="3" t="str">
        <f t="shared" si="6"/>
        <v/>
      </c>
    </row>
    <row r="133" spans="6:8" x14ac:dyDescent="0.4">
      <c r="F133" s="2"/>
      <c r="G133" s="2"/>
      <c r="H133" s="3" t="str">
        <f t="shared" ref="H133:H164" si="7">IF(AND(F133&lt;&gt;"",G133&lt;&gt;""),(G133-F133)*24,"")</f>
        <v/>
      </c>
    </row>
    <row r="134" spans="6:8" x14ac:dyDescent="0.4">
      <c r="F134" s="2"/>
      <c r="G134" s="2"/>
      <c r="H134" s="3" t="str">
        <f t="shared" si="7"/>
        <v/>
      </c>
    </row>
    <row r="135" spans="6:8" x14ac:dyDescent="0.4">
      <c r="F135" s="2"/>
      <c r="G135" s="2"/>
      <c r="H135" s="3" t="str">
        <f t="shared" si="7"/>
        <v/>
      </c>
    </row>
    <row r="136" spans="6:8" x14ac:dyDescent="0.4">
      <c r="F136" s="2"/>
      <c r="G136" s="2"/>
      <c r="H136" s="3" t="str">
        <f t="shared" si="7"/>
        <v/>
      </c>
    </row>
    <row r="137" spans="6:8" x14ac:dyDescent="0.4">
      <c r="F137" s="2"/>
      <c r="G137" s="2"/>
      <c r="H137" s="3" t="str">
        <f t="shared" si="7"/>
        <v/>
      </c>
    </row>
    <row r="138" spans="6:8" x14ac:dyDescent="0.4">
      <c r="F138" s="2"/>
      <c r="G138" s="2"/>
      <c r="H138" s="3" t="str">
        <f t="shared" si="7"/>
        <v/>
      </c>
    </row>
    <row r="139" spans="6:8" x14ac:dyDescent="0.4">
      <c r="F139" s="2"/>
      <c r="G139" s="2"/>
      <c r="H139" s="3" t="str">
        <f t="shared" si="7"/>
        <v/>
      </c>
    </row>
    <row r="140" spans="6:8" x14ac:dyDescent="0.4">
      <c r="F140" s="2"/>
      <c r="G140" s="2"/>
      <c r="H140" s="3" t="str">
        <f t="shared" si="7"/>
        <v/>
      </c>
    </row>
    <row r="141" spans="6:8" x14ac:dyDescent="0.4">
      <c r="F141" s="2"/>
      <c r="G141" s="2"/>
      <c r="H141" s="3" t="str">
        <f t="shared" si="7"/>
        <v/>
      </c>
    </row>
    <row r="142" spans="6:8" x14ac:dyDescent="0.4">
      <c r="F142" s="2"/>
      <c r="G142" s="2"/>
      <c r="H142" s="3" t="str">
        <f t="shared" si="7"/>
        <v/>
      </c>
    </row>
    <row r="143" spans="6:8" x14ac:dyDescent="0.4">
      <c r="F143" s="2"/>
      <c r="G143" s="2"/>
      <c r="H143" s="3" t="str">
        <f t="shared" si="7"/>
        <v/>
      </c>
    </row>
    <row r="144" spans="6:8" x14ac:dyDescent="0.4">
      <c r="F144" s="2"/>
      <c r="G144" s="2"/>
      <c r="H144" s="3" t="str">
        <f t="shared" si="7"/>
        <v/>
      </c>
    </row>
    <row r="145" spans="6:8" x14ac:dyDescent="0.4">
      <c r="F145" s="2"/>
      <c r="G145" s="2"/>
      <c r="H145" s="3" t="str">
        <f t="shared" si="7"/>
        <v/>
      </c>
    </row>
    <row r="146" spans="6:8" x14ac:dyDescent="0.4">
      <c r="F146" s="2"/>
      <c r="G146" s="2"/>
      <c r="H146" s="3" t="str">
        <f t="shared" si="7"/>
        <v/>
      </c>
    </row>
    <row r="147" spans="6:8" x14ac:dyDescent="0.4">
      <c r="F147" s="2"/>
      <c r="G147" s="2"/>
      <c r="H147" s="3" t="str">
        <f t="shared" si="7"/>
        <v/>
      </c>
    </row>
    <row r="148" spans="6:8" x14ac:dyDescent="0.4">
      <c r="F148" s="2"/>
      <c r="G148" s="2"/>
      <c r="H148" s="3" t="str">
        <f t="shared" si="7"/>
        <v/>
      </c>
    </row>
    <row r="149" spans="6:8" x14ac:dyDescent="0.4">
      <c r="F149" s="2"/>
      <c r="G149" s="2"/>
      <c r="H149" s="3" t="str">
        <f t="shared" si="7"/>
        <v/>
      </c>
    </row>
    <row r="150" spans="6:8" x14ac:dyDescent="0.4">
      <c r="F150" s="2"/>
      <c r="G150" s="2"/>
      <c r="H150" s="3" t="str">
        <f t="shared" si="7"/>
        <v/>
      </c>
    </row>
    <row r="151" spans="6:8" x14ac:dyDescent="0.4">
      <c r="F151" s="2"/>
      <c r="G151" s="2"/>
      <c r="H151" s="3" t="str">
        <f t="shared" si="7"/>
        <v/>
      </c>
    </row>
    <row r="152" spans="6:8" x14ac:dyDescent="0.4">
      <c r="F152" s="2"/>
      <c r="G152" s="2"/>
      <c r="H152" s="3" t="str">
        <f t="shared" si="7"/>
        <v/>
      </c>
    </row>
    <row r="153" spans="6:8" x14ac:dyDescent="0.4">
      <c r="F153" s="2"/>
      <c r="G153" s="2"/>
      <c r="H153" s="3" t="str">
        <f t="shared" si="7"/>
        <v/>
      </c>
    </row>
    <row r="154" spans="6:8" x14ac:dyDescent="0.4">
      <c r="F154" s="2"/>
      <c r="G154" s="2"/>
      <c r="H154" s="3" t="str">
        <f t="shared" si="7"/>
        <v/>
      </c>
    </row>
    <row r="155" spans="6:8" x14ac:dyDescent="0.4">
      <c r="F155" s="2"/>
      <c r="G155" s="2"/>
      <c r="H155" s="3" t="str">
        <f t="shared" si="7"/>
        <v/>
      </c>
    </row>
    <row r="156" spans="6:8" x14ac:dyDescent="0.4">
      <c r="F156" s="2"/>
      <c r="G156" s="2"/>
      <c r="H156" s="3" t="str">
        <f t="shared" si="7"/>
        <v/>
      </c>
    </row>
    <row r="157" spans="6:8" x14ac:dyDescent="0.4">
      <c r="F157" s="2"/>
      <c r="G157" s="2"/>
      <c r="H157" s="3" t="str">
        <f t="shared" si="7"/>
        <v/>
      </c>
    </row>
    <row r="158" spans="6:8" x14ac:dyDescent="0.4">
      <c r="F158" s="2"/>
      <c r="G158" s="2"/>
      <c r="H158" s="3" t="str">
        <f t="shared" si="7"/>
        <v/>
      </c>
    </row>
    <row r="159" spans="6:8" x14ac:dyDescent="0.4">
      <c r="F159" s="2"/>
      <c r="G159" s="2"/>
      <c r="H159" s="3" t="str">
        <f t="shared" si="7"/>
        <v/>
      </c>
    </row>
    <row r="160" spans="6:8" x14ac:dyDescent="0.4">
      <c r="F160" s="2"/>
      <c r="G160" s="2"/>
      <c r="H160" s="3" t="str">
        <f t="shared" si="7"/>
        <v/>
      </c>
    </row>
    <row r="161" spans="6:8" x14ac:dyDescent="0.4">
      <c r="F161" s="2"/>
      <c r="G161" s="2"/>
      <c r="H161" s="3" t="str">
        <f t="shared" si="7"/>
        <v/>
      </c>
    </row>
    <row r="162" spans="6:8" x14ac:dyDescent="0.4">
      <c r="F162" s="2"/>
      <c r="G162" s="2"/>
      <c r="H162" s="3" t="str">
        <f t="shared" si="7"/>
        <v/>
      </c>
    </row>
    <row r="163" spans="6:8" x14ac:dyDescent="0.4">
      <c r="F163" s="2"/>
      <c r="G163" s="2"/>
      <c r="H163" s="3" t="str">
        <f t="shared" si="7"/>
        <v/>
      </c>
    </row>
    <row r="164" spans="6:8" x14ac:dyDescent="0.4">
      <c r="F164" s="2"/>
      <c r="G164" s="2"/>
      <c r="H164" s="3" t="str">
        <f t="shared" si="7"/>
        <v/>
      </c>
    </row>
    <row r="165" spans="6:8" x14ac:dyDescent="0.4">
      <c r="F165" s="2"/>
      <c r="G165" s="2"/>
      <c r="H165" s="3" t="str">
        <f t="shared" ref="H165:H196" si="8">IF(AND(F165&lt;&gt;"",G165&lt;&gt;""),(G165-F165)*24,"")</f>
        <v/>
      </c>
    </row>
    <row r="166" spans="6:8" x14ac:dyDescent="0.4">
      <c r="F166" s="2"/>
      <c r="G166" s="2"/>
      <c r="H166" s="3" t="str">
        <f t="shared" si="8"/>
        <v/>
      </c>
    </row>
    <row r="167" spans="6:8" x14ac:dyDescent="0.4">
      <c r="F167" s="2"/>
      <c r="G167" s="2"/>
      <c r="H167" s="3" t="str">
        <f t="shared" si="8"/>
        <v/>
      </c>
    </row>
    <row r="168" spans="6:8" x14ac:dyDescent="0.4">
      <c r="F168" s="2"/>
      <c r="G168" s="2"/>
      <c r="H168" s="3" t="str">
        <f t="shared" si="8"/>
        <v/>
      </c>
    </row>
    <row r="169" spans="6:8" x14ac:dyDescent="0.4">
      <c r="F169" s="2"/>
      <c r="G169" s="2"/>
      <c r="H169" s="3" t="str">
        <f t="shared" si="8"/>
        <v/>
      </c>
    </row>
    <row r="170" spans="6:8" x14ac:dyDescent="0.4">
      <c r="F170" s="2"/>
      <c r="G170" s="2"/>
      <c r="H170" s="3" t="str">
        <f t="shared" si="8"/>
        <v/>
      </c>
    </row>
    <row r="171" spans="6:8" x14ac:dyDescent="0.4">
      <c r="F171" s="2"/>
      <c r="G171" s="2"/>
      <c r="H171" s="3" t="str">
        <f t="shared" si="8"/>
        <v/>
      </c>
    </row>
    <row r="172" spans="6:8" x14ac:dyDescent="0.4">
      <c r="F172" s="2"/>
      <c r="G172" s="2"/>
      <c r="H172" s="3" t="str">
        <f t="shared" si="8"/>
        <v/>
      </c>
    </row>
    <row r="173" spans="6:8" x14ac:dyDescent="0.4">
      <c r="F173" s="2"/>
      <c r="G173" s="2"/>
      <c r="H173" s="3" t="str">
        <f t="shared" si="8"/>
        <v/>
      </c>
    </row>
    <row r="174" spans="6:8" x14ac:dyDescent="0.4">
      <c r="F174" s="2"/>
      <c r="G174" s="2"/>
      <c r="H174" s="3" t="str">
        <f t="shared" si="8"/>
        <v/>
      </c>
    </row>
    <row r="175" spans="6:8" x14ac:dyDescent="0.4">
      <c r="F175" s="2"/>
      <c r="G175" s="2"/>
      <c r="H175" s="3" t="str">
        <f t="shared" si="8"/>
        <v/>
      </c>
    </row>
    <row r="176" spans="6:8" x14ac:dyDescent="0.4">
      <c r="F176" s="2"/>
      <c r="G176" s="2"/>
      <c r="H176" s="3" t="str">
        <f t="shared" si="8"/>
        <v/>
      </c>
    </row>
    <row r="177" spans="6:8" x14ac:dyDescent="0.4">
      <c r="F177" s="2"/>
      <c r="G177" s="2"/>
      <c r="H177" s="3" t="str">
        <f t="shared" si="8"/>
        <v/>
      </c>
    </row>
    <row r="178" spans="6:8" x14ac:dyDescent="0.4">
      <c r="F178" s="2"/>
      <c r="G178" s="2"/>
      <c r="H178" s="3" t="str">
        <f t="shared" si="8"/>
        <v/>
      </c>
    </row>
    <row r="179" spans="6:8" x14ac:dyDescent="0.4">
      <c r="F179" s="2"/>
      <c r="G179" s="2"/>
      <c r="H179" s="3" t="str">
        <f t="shared" si="8"/>
        <v/>
      </c>
    </row>
    <row r="180" spans="6:8" x14ac:dyDescent="0.4">
      <c r="F180" s="2"/>
      <c r="G180" s="2"/>
      <c r="H180" s="3" t="str">
        <f t="shared" si="8"/>
        <v/>
      </c>
    </row>
    <row r="181" spans="6:8" x14ac:dyDescent="0.4">
      <c r="F181" s="2"/>
      <c r="G181" s="2"/>
      <c r="H181" s="3" t="str">
        <f t="shared" si="8"/>
        <v/>
      </c>
    </row>
    <row r="182" spans="6:8" x14ac:dyDescent="0.4">
      <c r="F182" s="2"/>
      <c r="G182" s="2"/>
      <c r="H182" s="3" t="str">
        <f t="shared" si="8"/>
        <v/>
      </c>
    </row>
    <row r="183" spans="6:8" x14ac:dyDescent="0.4">
      <c r="F183" s="2"/>
      <c r="G183" s="2"/>
      <c r="H183" s="3" t="str">
        <f t="shared" si="8"/>
        <v/>
      </c>
    </row>
    <row r="184" spans="6:8" x14ac:dyDescent="0.4">
      <c r="F184" s="2"/>
      <c r="G184" s="2"/>
      <c r="H184" s="3" t="str">
        <f t="shared" si="8"/>
        <v/>
      </c>
    </row>
    <row r="185" spans="6:8" x14ac:dyDescent="0.4">
      <c r="F185" s="2"/>
      <c r="G185" s="2"/>
      <c r="H185" s="3" t="str">
        <f t="shared" si="8"/>
        <v/>
      </c>
    </row>
    <row r="186" spans="6:8" x14ac:dyDescent="0.4">
      <c r="F186" s="2"/>
      <c r="G186" s="2"/>
      <c r="H186" s="3" t="str">
        <f t="shared" si="8"/>
        <v/>
      </c>
    </row>
    <row r="187" spans="6:8" x14ac:dyDescent="0.4">
      <c r="F187" s="2"/>
      <c r="G187" s="2"/>
      <c r="H187" s="3" t="str">
        <f t="shared" si="8"/>
        <v/>
      </c>
    </row>
    <row r="188" spans="6:8" x14ac:dyDescent="0.4">
      <c r="F188" s="2"/>
      <c r="G188" s="2"/>
      <c r="H188" s="3" t="str">
        <f t="shared" si="8"/>
        <v/>
      </c>
    </row>
    <row r="189" spans="6:8" x14ac:dyDescent="0.4">
      <c r="F189" s="2"/>
      <c r="G189" s="2"/>
      <c r="H189" s="3" t="str">
        <f t="shared" si="8"/>
        <v/>
      </c>
    </row>
    <row r="190" spans="6:8" x14ac:dyDescent="0.4">
      <c r="F190" s="2"/>
      <c r="G190" s="2"/>
      <c r="H190" s="3" t="str">
        <f t="shared" si="8"/>
        <v/>
      </c>
    </row>
    <row r="191" spans="6:8" x14ac:dyDescent="0.4">
      <c r="F191" s="2"/>
      <c r="G191" s="2"/>
      <c r="H191" s="3" t="str">
        <f t="shared" si="8"/>
        <v/>
      </c>
    </row>
    <row r="192" spans="6:8" x14ac:dyDescent="0.4">
      <c r="F192" s="2"/>
      <c r="G192" s="2"/>
      <c r="H192" s="3" t="str">
        <f t="shared" si="8"/>
        <v/>
      </c>
    </row>
    <row r="193" spans="6:8" x14ac:dyDescent="0.4">
      <c r="F193" s="2"/>
      <c r="G193" s="2"/>
      <c r="H193" s="3" t="str">
        <f t="shared" si="8"/>
        <v/>
      </c>
    </row>
    <row r="194" spans="6:8" x14ac:dyDescent="0.4">
      <c r="F194" s="2"/>
      <c r="G194" s="2"/>
      <c r="H194" s="3" t="str">
        <f t="shared" si="8"/>
        <v/>
      </c>
    </row>
    <row r="195" spans="6:8" x14ac:dyDescent="0.4">
      <c r="F195" s="2"/>
      <c r="G195" s="2"/>
      <c r="H195" s="3" t="str">
        <f t="shared" si="8"/>
        <v/>
      </c>
    </row>
    <row r="196" spans="6:8" x14ac:dyDescent="0.4">
      <c r="F196" s="2"/>
      <c r="G196" s="2"/>
      <c r="H196" s="3" t="str">
        <f t="shared" si="8"/>
        <v/>
      </c>
    </row>
    <row r="197" spans="6:8" x14ac:dyDescent="0.4">
      <c r="F197" s="2"/>
      <c r="G197" s="2"/>
      <c r="H197" s="3" t="str">
        <f t="shared" ref="H197:H204" si="9">IF(AND(F197&lt;&gt;"",G197&lt;&gt;""),(G197-F197)*24,"")</f>
        <v/>
      </c>
    </row>
    <row r="198" spans="6:8" x14ac:dyDescent="0.4">
      <c r="F198" s="2"/>
      <c r="G198" s="2"/>
      <c r="H198" s="3" t="str">
        <f t="shared" si="9"/>
        <v/>
      </c>
    </row>
    <row r="199" spans="6:8" x14ac:dyDescent="0.4">
      <c r="F199" s="2"/>
      <c r="G199" s="2"/>
      <c r="H199" s="3" t="str">
        <f t="shared" si="9"/>
        <v/>
      </c>
    </row>
    <row r="200" spans="6:8" x14ac:dyDescent="0.4">
      <c r="F200" s="2"/>
      <c r="G200" s="2"/>
      <c r="H200" s="3" t="str">
        <f t="shared" si="9"/>
        <v/>
      </c>
    </row>
    <row r="201" spans="6:8" x14ac:dyDescent="0.4">
      <c r="F201" s="2"/>
      <c r="G201" s="2"/>
      <c r="H201" s="3" t="str">
        <f t="shared" si="9"/>
        <v/>
      </c>
    </row>
    <row r="202" spans="6:8" x14ac:dyDescent="0.4">
      <c r="F202" s="2"/>
      <c r="G202" s="2"/>
      <c r="H202" s="3" t="str">
        <f t="shared" si="9"/>
        <v/>
      </c>
    </row>
    <row r="203" spans="6:8" x14ac:dyDescent="0.4">
      <c r="F203" s="2"/>
      <c r="G203" s="2"/>
      <c r="H203" s="3" t="str">
        <f t="shared" si="9"/>
        <v/>
      </c>
    </row>
    <row r="204" spans="6:8" x14ac:dyDescent="0.4">
      <c r="F204" s="2"/>
      <c r="G204" s="2"/>
      <c r="H204" s="3" t="str">
        <f t="shared" si="9"/>
        <v/>
      </c>
    </row>
  </sheetData>
  <dataValidations count="2">
    <dataValidation type="list" allowBlank="1" showInputMessage="1" showErrorMessage="1" sqref="D2:D204" xr:uid="{00000000-0002-0000-0A00-000000000000}">
      <formula1>"Theorie (Video),Live-Call-Vorlesung,Selbststudium,Live-Call-Hausaufgaben"</formula1>
    </dataValidation>
    <dataValidation type="list" allowBlank="1" showInputMessage="1" showErrorMessage="1" sqref="C2:C204" xr:uid="{00000000-0002-0000-0A00-000001000000}">
      <formula1>"EDA,EXCEL,ScrumPO,ETL,AWS,PowerBI,PROJEKT"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F11F-A0BA-46BC-B19E-4C754BC5BFA3}">
  <dimension ref="A1"/>
  <sheetViews>
    <sheetView workbookViewId="0">
      <selection activeCell="A3" sqref="A3"/>
    </sheetView>
  </sheetViews>
  <sheetFormatPr baseColWidth="10" defaultRowHeight="14.6" x14ac:dyDescent="0.4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7ADE-2ED2-4794-A7CC-471ECCCCC86F}">
  <dimension ref="A1:K49"/>
  <sheetViews>
    <sheetView tabSelected="1" topLeftCell="A22" zoomScale="90" zoomScaleNormal="90" workbookViewId="0">
      <selection activeCell="K30" sqref="K30"/>
    </sheetView>
  </sheetViews>
  <sheetFormatPr baseColWidth="10" defaultRowHeight="14.6" x14ac:dyDescent="0.4"/>
  <cols>
    <col min="2" max="2" width="12.07421875" customWidth="1"/>
    <col min="4" max="4" width="21.765625" customWidth="1"/>
    <col min="5" max="5" width="14.69140625" customWidth="1"/>
    <col min="9" max="9" width="19" customWidth="1"/>
  </cols>
  <sheetData>
    <row r="1" spans="1:11" ht="15" thickBot="1" x14ac:dyDescent="0.45">
      <c r="A1" s="21" t="s">
        <v>7</v>
      </c>
      <c r="B1" s="22" t="s">
        <v>8</v>
      </c>
      <c r="C1" s="22" t="s">
        <v>1</v>
      </c>
      <c r="D1" s="22" t="s">
        <v>0</v>
      </c>
      <c r="E1" s="22" t="s">
        <v>9</v>
      </c>
      <c r="F1" s="22" t="s">
        <v>10</v>
      </c>
      <c r="G1" s="22" t="s">
        <v>11</v>
      </c>
      <c r="H1" s="22" t="s">
        <v>12</v>
      </c>
      <c r="I1" s="23" t="s">
        <v>13</v>
      </c>
      <c r="K1" s="3"/>
    </row>
    <row r="2" spans="1:11" ht="15" thickTop="1" x14ac:dyDescent="0.4">
      <c r="A2" s="24">
        <v>45962</v>
      </c>
      <c r="B2" s="25" t="s">
        <v>24</v>
      </c>
      <c r="C2" s="26" t="s">
        <v>45</v>
      </c>
      <c r="D2" s="26" t="s">
        <v>6</v>
      </c>
      <c r="E2" s="26" t="s">
        <v>33</v>
      </c>
      <c r="F2" s="27">
        <v>0.45833333333333331</v>
      </c>
      <c r="G2" s="27">
        <v>0.66666666666666663</v>
      </c>
      <c r="H2" s="28">
        <f t="shared" ref="H2:H35" si="0">IF(AND(F2&lt;&gt;"",G2&lt;&gt;""),(G2-F2)*24,"")</f>
        <v>5</v>
      </c>
      <c r="I2" s="29" t="s">
        <v>32</v>
      </c>
      <c r="K2" s="3"/>
    </row>
    <row r="3" spans="1:11" x14ac:dyDescent="0.4">
      <c r="A3" s="24">
        <v>45963</v>
      </c>
      <c r="B3" s="26" t="s">
        <v>25</v>
      </c>
      <c r="C3" s="26" t="s">
        <v>45</v>
      </c>
      <c r="D3" s="26" t="s">
        <v>6</v>
      </c>
      <c r="E3" s="26" t="s">
        <v>49</v>
      </c>
      <c r="F3" s="27">
        <v>0.41666666666666669</v>
      </c>
      <c r="G3" s="27">
        <v>0.5</v>
      </c>
      <c r="H3" s="28">
        <f t="shared" si="0"/>
        <v>1.9999999999999996</v>
      </c>
      <c r="I3" s="29" t="s">
        <v>47</v>
      </c>
      <c r="K3" s="3"/>
    </row>
    <row r="4" spans="1:11" x14ac:dyDescent="0.4">
      <c r="A4" s="24">
        <v>45963</v>
      </c>
      <c r="B4" s="26" t="s">
        <v>25</v>
      </c>
      <c r="C4" s="26" t="s">
        <v>16</v>
      </c>
      <c r="D4" s="26" t="s">
        <v>6</v>
      </c>
      <c r="E4" s="26" t="s">
        <v>50</v>
      </c>
      <c r="F4" s="27">
        <v>0.5</v>
      </c>
      <c r="G4" s="27">
        <v>0.5625</v>
      </c>
      <c r="H4" s="28">
        <f t="shared" si="0"/>
        <v>1.5</v>
      </c>
      <c r="I4" s="29" t="s">
        <v>47</v>
      </c>
      <c r="K4" s="3"/>
    </row>
    <row r="5" spans="1:11" x14ac:dyDescent="0.4">
      <c r="A5" s="24">
        <v>45964</v>
      </c>
      <c r="B5" s="26" t="s">
        <v>27</v>
      </c>
      <c r="C5" s="26" t="s">
        <v>45</v>
      </c>
      <c r="D5" s="26" t="s">
        <v>2</v>
      </c>
      <c r="E5" s="26" t="s">
        <v>51</v>
      </c>
      <c r="F5" s="27">
        <v>0.35416666666666669</v>
      </c>
      <c r="G5" s="27">
        <v>0.375</v>
      </c>
      <c r="H5" s="28">
        <f t="shared" si="0"/>
        <v>0.49999999999999956</v>
      </c>
      <c r="I5" s="29" t="s">
        <v>32</v>
      </c>
      <c r="K5" s="3"/>
    </row>
    <row r="6" spans="1:11" x14ac:dyDescent="0.4">
      <c r="A6" s="24">
        <v>45964</v>
      </c>
      <c r="B6" s="26" t="s">
        <v>27</v>
      </c>
      <c r="C6" s="26" t="s">
        <v>45</v>
      </c>
      <c r="D6" s="26" t="s">
        <v>31</v>
      </c>
      <c r="E6" s="30" t="s">
        <v>36</v>
      </c>
      <c r="F6" s="27">
        <v>0.44791666666666669</v>
      </c>
      <c r="G6" s="27">
        <v>0.50694444444444442</v>
      </c>
      <c r="H6" s="28">
        <f t="shared" si="0"/>
        <v>1.4166666666666656</v>
      </c>
      <c r="I6" s="29" t="s">
        <v>32</v>
      </c>
      <c r="K6" s="3"/>
    </row>
    <row r="7" spans="1:11" x14ac:dyDescent="0.4">
      <c r="A7" s="24">
        <v>45964</v>
      </c>
      <c r="B7" s="26" t="s">
        <v>27</v>
      </c>
      <c r="C7" s="26" t="s">
        <v>45</v>
      </c>
      <c r="D7" s="26" t="s">
        <v>6</v>
      </c>
      <c r="E7" s="26" t="s">
        <v>52</v>
      </c>
      <c r="F7" s="27">
        <v>0.875</v>
      </c>
      <c r="G7" s="27">
        <v>0.91666666666666663</v>
      </c>
      <c r="H7" s="28">
        <f t="shared" si="0"/>
        <v>0.99999999999999911</v>
      </c>
      <c r="I7" s="29" t="s">
        <v>32</v>
      </c>
      <c r="K7" s="3"/>
    </row>
    <row r="8" spans="1:11" x14ac:dyDescent="0.4">
      <c r="A8" s="24">
        <v>45965</v>
      </c>
      <c r="B8" s="26" t="s">
        <v>26</v>
      </c>
      <c r="C8" s="26" t="s">
        <v>45</v>
      </c>
      <c r="D8" s="26" t="s">
        <v>2</v>
      </c>
      <c r="E8" s="26" t="s">
        <v>51</v>
      </c>
      <c r="F8" s="27">
        <v>0.39583333333333331</v>
      </c>
      <c r="G8" s="27">
        <v>0.53125</v>
      </c>
      <c r="H8" s="28">
        <f t="shared" si="0"/>
        <v>3.2500000000000004</v>
      </c>
      <c r="I8" s="29" t="s">
        <v>32</v>
      </c>
      <c r="K8" s="3"/>
    </row>
    <row r="9" spans="1:11" x14ac:dyDescent="0.4">
      <c r="A9" s="24">
        <v>45965</v>
      </c>
      <c r="B9" s="26" t="s">
        <v>26</v>
      </c>
      <c r="C9" s="26" t="s">
        <v>45</v>
      </c>
      <c r="D9" s="26" t="s">
        <v>34</v>
      </c>
      <c r="E9" s="30" t="s">
        <v>36</v>
      </c>
      <c r="F9" s="27">
        <v>0.57291666666666663</v>
      </c>
      <c r="G9" s="27">
        <v>0.63888888888888884</v>
      </c>
      <c r="H9" s="28">
        <f t="shared" si="0"/>
        <v>1.583333333333333</v>
      </c>
      <c r="I9" s="29" t="s">
        <v>32</v>
      </c>
      <c r="K9" s="3"/>
    </row>
    <row r="10" spans="1:11" x14ac:dyDescent="0.4">
      <c r="A10" s="24">
        <v>45966</v>
      </c>
      <c r="B10" s="26" t="s">
        <v>20</v>
      </c>
      <c r="C10" s="26" t="s">
        <v>41</v>
      </c>
      <c r="D10" s="26" t="s">
        <v>2</v>
      </c>
      <c r="E10" s="26" t="s">
        <v>51</v>
      </c>
      <c r="F10" s="27">
        <v>0.38541666666666669</v>
      </c>
      <c r="G10" s="27">
        <v>0.42708333333333331</v>
      </c>
      <c r="H10" s="28">
        <f t="shared" si="0"/>
        <v>0.99999999999999911</v>
      </c>
      <c r="I10" s="29" t="s">
        <v>32</v>
      </c>
      <c r="K10" s="3"/>
    </row>
    <row r="11" spans="1:11" x14ac:dyDescent="0.4">
      <c r="A11" s="24">
        <v>45966</v>
      </c>
      <c r="B11" s="26" t="s">
        <v>20</v>
      </c>
      <c r="C11" s="26" t="s">
        <v>41</v>
      </c>
      <c r="D11" s="26" t="s">
        <v>34</v>
      </c>
      <c r="E11" s="30" t="s">
        <v>36</v>
      </c>
      <c r="F11" s="27">
        <v>0.42708333333333331</v>
      </c>
      <c r="G11" s="27">
        <v>0.48958333333333331</v>
      </c>
      <c r="H11" s="28">
        <f t="shared" si="0"/>
        <v>1.5</v>
      </c>
      <c r="I11" s="29" t="s">
        <v>32</v>
      </c>
      <c r="K11" s="3"/>
    </row>
    <row r="12" spans="1:11" x14ac:dyDescent="0.4">
      <c r="A12" s="24">
        <v>45966</v>
      </c>
      <c r="B12" s="26" t="s">
        <v>20</v>
      </c>
      <c r="C12" s="26" t="s">
        <v>41</v>
      </c>
      <c r="D12" s="26" t="s">
        <v>2</v>
      </c>
      <c r="E12" s="26" t="s">
        <v>51</v>
      </c>
      <c r="F12" s="27">
        <v>0.5</v>
      </c>
      <c r="G12" s="27">
        <v>0.54166666666666663</v>
      </c>
      <c r="H12" s="28">
        <f t="shared" si="0"/>
        <v>0.99999999999999911</v>
      </c>
      <c r="I12" s="29" t="s">
        <v>32</v>
      </c>
      <c r="K12" s="3"/>
    </row>
    <row r="13" spans="1:11" x14ac:dyDescent="0.4">
      <c r="A13" s="24">
        <v>45966</v>
      </c>
      <c r="B13" s="26" t="s">
        <v>20</v>
      </c>
      <c r="C13" s="26" t="s">
        <v>45</v>
      </c>
      <c r="D13" s="26" t="s">
        <v>2</v>
      </c>
      <c r="E13" s="26" t="s">
        <v>51</v>
      </c>
      <c r="F13" s="27">
        <v>0.70833333333333337</v>
      </c>
      <c r="G13" s="27">
        <v>0.84375</v>
      </c>
      <c r="H13" s="28">
        <f t="shared" si="0"/>
        <v>3.2499999999999991</v>
      </c>
      <c r="I13" s="29" t="s">
        <v>32</v>
      </c>
      <c r="K13" s="3"/>
    </row>
    <row r="14" spans="1:11" x14ac:dyDescent="0.4">
      <c r="A14" s="24">
        <v>45967</v>
      </c>
      <c r="B14" s="26" t="s">
        <v>19</v>
      </c>
      <c r="C14" s="26" t="s">
        <v>45</v>
      </c>
      <c r="D14" s="26" t="s">
        <v>6</v>
      </c>
      <c r="E14" s="26" t="s">
        <v>33</v>
      </c>
      <c r="F14" s="27">
        <v>0.375</v>
      </c>
      <c r="G14" s="27">
        <v>0.5</v>
      </c>
      <c r="H14" s="28">
        <f t="shared" si="0"/>
        <v>3</v>
      </c>
      <c r="I14" s="29" t="s">
        <v>32</v>
      </c>
      <c r="K14" s="3"/>
    </row>
    <row r="15" spans="1:11" x14ac:dyDescent="0.4">
      <c r="A15" s="24">
        <v>45968</v>
      </c>
      <c r="B15" s="26" t="s">
        <v>28</v>
      </c>
      <c r="C15" s="26"/>
      <c r="D15" s="26" t="s">
        <v>34</v>
      </c>
      <c r="E15" s="30" t="s">
        <v>36</v>
      </c>
      <c r="F15" s="27">
        <v>0.54166666666666663</v>
      </c>
      <c r="G15" s="27">
        <v>0.58333333333333337</v>
      </c>
      <c r="H15" s="28">
        <f t="shared" si="0"/>
        <v>1.0000000000000018</v>
      </c>
      <c r="I15" s="29" t="s">
        <v>32</v>
      </c>
      <c r="K15" s="3"/>
    </row>
    <row r="16" spans="1:11" x14ac:dyDescent="0.4">
      <c r="A16" s="24">
        <v>45968</v>
      </c>
      <c r="B16" s="26" t="s">
        <v>28</v>
      </c>
      <c r="C16" s="26" t="s">
        <v>45</v>
      </c>
      <c r="D16" s="26" t="s">
        <v>6</v>
      </c>
      <c r="E16" s="26" t="s">
        <v>33</v>
      </c>
      <c r="F16" s="27">
        <v>0.60416666666666663</v>
      </c>
      <c r="G16" s="27">
        <v>0.77083333333333337</v>
      </c>
      <c r="H16" s="28">
        <f t="shared" si="0"/>
        <v>4.0000000000000018</v>
      </c>
      <c r="I16" s="29" t="s">
        <v>32</v>
      </c>
      <c r="K16" s="3"/>
    </row>
    <row r="17" spans="1:11" x14ac:dyDescent="0.4">
      <c r="A17" s="24">
        <v>45969</v>
      </c>
      <c r="B17" s="26" t="s">
        <v>24</v>
      </c>
      <c r="C17" s="26" t="s">
        <v>45</v>
      </c>
      <c r="D17" s="26" t="s">
        <v>6</v>
      </c>
      <c r="E17" s="26" t="s">
        <v>33</v>
      </c>
      <c r="F17" s="27">
        <v>0.375</v>
      </c>
      <c r="G17" s="27">
        <v>0.60416666666666663</v>
      </c>
      <c r="H17" s="28">
        <f t="shared" si="0"/>
        <v>5.4999999999999991</v>
      </c>
      <c r="I17" s="29" t="s">
        <v>32</v>
      </c>
      <c r="K17" s="3"/>
    </row>
    <row r="18" spans="1:11" x14ac:dyDescent="0.4">
      <c r="A18" s="24">
        <v>45970</v>
      </c>
      <c r="B18" s="26" t="s">
        <v>25</v>
      </c>
      <c r="C18" s="26" t="s">
        <v>45</v>
      </c>
      <c r="D18" s="26" t="s">
        <v>6</v>
      </c>
      <c r="E18" s="26" t="s">
        <v>33</v>
      </c>
      <c r="F18" s="27">
        <v>0.375</v>
      </c>
      <c r="G18" s="27">
        <v>0.52083333333333337</v>
      </c>
      <c r="H18" s="28">
        <f t="shared" si="0"/>
        <v>3.5000000000000009</v>
      </c>
      <c r="I18" s="29" t="s">
        <v>32</v>
      </c>
      <c r="K18" s="3"/>
    </row>
    <row r="19" spans="1:11" x14ac:dyDescent="0.4">
      <c r="A19" s="24">
        <v>45971</v>
      </c>
      <c r="B19" s="26" t="s">
        <v>27</v>
      </c>
      <c r="C19" s="26" t="s">
        <v>53</v>
      </c>
      <c r="D19" s="26" t="s">
        <v>2</v>
      </c>
      <c r="E19" s="26" t="s">
        <v>51</v>
      </c>
      <c r="F19" s="27">
        <v>0.35416666666666669</v>
      </c>
      <c r="G19" s="27">
        <v>0.39583333333333331</v>
      </c>
      <c r="H19" s="28">
        <f t="shared" si="0"/>
        <v>0.99999999999999911</v>
      </c>
      <c r="I19" s="29" t="s">
        <v>32</v>
      </c>
      <c r="K19" s="3"/>
    </row>
    <row r="20" spans="1:11" x14ac:dyDescent="0.4">
      <c r="A20" s="24">
        <v>45971</v>
      </c>
      <c r="B20" s="26" t="s">
        <v>27</v>
      </c>
      <c r="C20" s="26" t="s">
        <v>45</v>
      </c>
      <c r="D20" s="26" t="s">
        <v>31</v>
      </c>
      <c r="E20" s="30" t="s">
        <v>36</v>
      </c>
      <c r="F20" s="27">
        <v>0.44791666666666669</v>
      </c>
      <c r="G20" s="27">
        <v>0.5</v>
      </c>
      <c r="H20" s="28">
        <f t="shared" si="0"/>
        <v>1.2499999999999996</v>
      </c>
      <c r="I20" s="29" t="s">
        <v>32</v>
      </c>
      <c r="K20" s="3"/>
    </row>
    <row r="21" spans="1:11" x14ac:dyDescent="0.4">
      <c r="A21" s="24">
        <v>45972</v>
      </c>
      <c r="B21" s="26" t="s">
        <v>26</v>
      </c>
      <c r="C21" s="26" t="s">
        <v>53</v>
      </c>
      <c r="D21" s="26" t="s">
        <v>34</v>
      </c>
      <c r="E21" s="30" t="s">
        <v>36</v>
      </c>
      <c r="F21" s="27">
        <v>0.42708333333333331</v>
      </c>
      <c r="G21" s="27">
        <v>0.48958333333333331</v>
      </c>
      <c r="H21" s="28">
        <f t="shared" si="0"/>
        <v>1.5</v>
      </c>
      <c r="I21" s="29" t="s">
        <v>32</v>
      </c>
      <c r="K21" s="3"/>
    </row>
    <row r="22" spans="1:11" x14ac:dyDescent="0.4">
      <c r="A22" s="24">
        <v>45972</v>
      </c>
      <c r="B22" s="26" t="s">
        <v>26</v>
      </c>
      <c r="C22" s="26" t="s">
        <v>53</v>
      </c>
      <c r="D22" s="26" t="s">
        <v>2</v>
      </c>
      <c r="E22" s="26" t="s">
        <v>51</v>
      </c>
      <c r="F22" s="27">
        <v>0.53125</v>
      </c>
      <c r="G22" s="27">
        <v>0.58333333333333337</v>
      </c>
      <c r="H22" s="28">
        <f t="shared" si="0"/>
        <v>1.2500000000000009</v>
      </c>
      <c r="I22" s="29" t="s">
        <v>32</v>
      </c>
      <c r="K22" s="3"/>
    </row>
    <row r="23" spans="1:11" x14ac:dyDescent="0.4">
      <c r="A23" s="24">
        <v>45972</v>
      </c>
      <c r="B23" s="26" t="s">
        <v>26</v>
      </c>
      <c r="C23" s="26" t="s">
        <v>53</v>
      </c>
      <c r="D23" s="26" t="s">
        <v>6</v>
      </c>
      <c r="E23" s="26" t="s">
        <v>33</v>
      </c>
      <c r="F23" s="27">
        <v>0.83333333333333337</v>
      </c>
      <c r="G23" s="27">
        <v>0.85416666666666663</v>
      </c>
      <c r="H23" s="28">
        <f t="shared" si="0"/>
        <v>0.49999999999999822</v>
      </c>
      <c r="I23" s="29" t="s">
        <v>32</v>
      </c>
      <c r="K23" s="3"/>
    </row>
    <row r="24" spans="1:11" x14ac:dyDescent="0.4">
      <c r="A24" s="24">
        <v>45973</v>
      </c>
      <c r="B24" s="26" t="s">
        <v>20</v>
      </c>
      <c r="C24" s="26" t="s">
        <v>53</v>
      </c>
      <c r="D24" s="26" t="s">
        <v>2</v>
      </c>
      <c r="E24" s="26" t="s">
        <v>51</v>
      </c>
      <c r="F24" s="27">
        <v>0.375</v>
      </c>
      <c r="G24" s="27">
        <v>0.5</v>
      </c>
      <c r="H24" s="28">
        <f t="shared" si="0"/>
        <v>3</v>
      </c>
      <c r="I24" s="29" t="s">
        <v>32</v>
      </c>
      <c r="K24" s="3"/>
    </row>
    <row r="25" spans="1:11" x14ac:dyDescent="0.4">
      <c r="A25" s="24">
        <v>45973</v>
      </c>
      <c r="B25" s="26" t="s">
        <v>20</v>
      </c>
      <c r="C25" s="26" t="s">
        <v>53</v>
      </c>
      <c r="D25" s="26" t="s">
        <v>6</v>
      </c>
      <c r="E25" s="26" t="s">
        <v>33</v>
      </c>
      <c r="F25" s="27">
        <v>0.6875</v>
      </c>
      <c r="G25" s="27">
        <v>0.75</v>
      </c>
      <c r="H25" s="28">
        <f t="shared" si="0"/>
        <v>1.5</v>
      </c>
      <c r="I25" s="29" t="s">
        <v>32</v>
      </c>
      <c r="K25" s="3"/>
    </row>
    <row r="26" spans="1:11" x14ac:dyDescent="0.4">
      <c r="A26" s="24">
        <v>45974</v>
      </c>
      <c r="B26" s="26" t="s">
        <v>19</v>
      </c>
      <c r="C26" s="26" t="s">
        <v>16</v>
      </c>
      <c r="D26" s="26" t="s">
        <v>6</v>
      </c>
      <c r="E26" s="26" t="s">
        <v>50</v>
      </c>
      <c r="F26" s="27">
        <v>0.39583333333333331</v>
      </c>
      <c r="G26" s="27">
        <v>0.41666666666666669</v>
      </c>
      <c r="H26" s="28">
        <f t="shared" si="0"/>
        <v>0.50000000000000089</v>
      </c>
      <c r="I26" s="29" t="s">
        <v>54</v>
      </c>
      <c r="K26" s="3"/>
    </row>
    <row r="27" spans="1:11" x14ac:dyDescent="0.4">
      <c r="A27" s="24">
        <v>45974</v>
      </c>
      <c r="B27" s="26" t="s">
        <v>19</v>
      </c>
      <c r="C27" s="26" t="s">
        <v>53</v>
      </c>
      <c r="D27" s="26" t="s">
        <v>2</v>
      </c>
      <c r="E27" s="26" t="s">
        <v>51</v>
      </c>
      <c r="F27" s="27">
        <v>0.41666666666666669</v>
      </c>
      <c r="G27" s="27">
        <v>0.45833333333333331</v>
      </c>
      <c r="H27" s="28">
        <f t="shared" si="0"/>
        <v>0.99999999999999911</v>
      </c>
      <c r="I27" s="29" t="s">
        <v>32</v>
      </c>
      <c r="K27" s="3"/>
    </row>
    <row r="28" spans="1:11" x14ac:dyDescent="0.4">
      <c r="A28" s="24">
        <v>45974</v>
      </c>
      <c r="B28" s="26" t="s">
        <v>19</v>
      </c>
      <c r="C28" s="26" t="s">
        <v>53</v>
      </c>
      <c r="D28" s="26" t="s">
        <v>6</v>
      </c>
      <c r="E28" s="26" t="s">
        <v>33</v>
      </c>
      <c r="F28" s="27">
        <v>0.45833333333333331</v>
      </c>
      <c r="G28" s="27">
        <v>0.58333333333333337</v>
      </c>
      <c r="H28" s="28">
        <f t="shared" si="0"/>
        <v>3.0000000000000013</v>
      </c>
      <c r="I28" s="29" t="s">
        <v>32</v>
      </c>
      <c r="K28" s="3"/>
    </row>
    <row r="29" spans="1:11" x14ac:dyDescent="0.4">
      <c r="A29" s="24">
        <v>45974</v>
      </c>
      <c r="B29" s="26" t="s">
        <v>19</v>
      </c>
      <c r="C29" s="26" t="s">
        <v>53</v>
      </c>
      <c r="D29" s="26" t="s">
        <v>2</v>
      </c>
      <c r="E29" s="26" t="s">
        <v>51</v>
      </c>
      <c r="F29" s="27">
        <v>0.6875</v>
      </c>
      <c r="G29" s="27">
        <v>0.75</v>
      </c>
      <c r="H29" s="28">
        <f t="shared" si="0"/>
        <v>1.5</v>
      </c>
      <c r="I29" s="29" t="s">
        <v>32</v>
      </c>
      <c r="K29" s="3"/>
    </row>
    <row r="30" spans="1:11" x14ac:dyDescent="0.4">
      <c r="A30" s="24">
        <v>45975</v>
      </c>
      <c r="B30" s="26" t="s">
        <v>28</v>
      </c>
      <c r="C30" s="26" t="s">
        <v>53</v>
      </c>
      <c r="D30" s="26" t="s">
        <v>2</v>
      </c>
      <c r="E30" s="26" t="s">
        <v>51</v>
      </c>
      <c r="F30" s="27">
        <v>0.45833333333333331</v>
      </c>
      <c r="G30" s="27">
        <v>0.47916666666666669</v>
      </c>
      <c r="H30" s="28">
        <f t="shared" si="0"/>
        <v>0.50000000000000089</v>
      </c>
      <c r="I30" s="29" t="s">
        <v>32</v>
      </c>
      <c r="K30" s="3"/>
    </row>
    <row r="31" spans="1:11" x14ac:dyDescent="0.4">
      <c r="A31" s="24">
        <v>45976</v>
      </c>
      <c r="B31" s="26" t="s">
        <v>24</v>
      </c>
      <c r="C31" s="26" t="s">
        <v>53</v>
      </c>
      <c r="D31" s="26" t="s">
        <v>2</v>
      </c>
      <c r="E31" s="26" t="s">
        <v>33</v>
      </c>
      <c r="F31" s="27">
        <v>0.47916666666666669</v>
      </c>
      <c r="G31" s="27">
        <v>0.58333333333333337</v>
      </c>
      <c r="H31" s="28">
        <f t="shared" si="0"/>
        <v>2.5000000000000004</v>
      </c>
      <c r="I31" s="29" t="s">
        <v>32</v>
      </c>
      <c r="K31" s="3"/>
    </row>
    <row r="32" spans="1:11" x14ac:dyDescent="0.4">
      <c r="A32" s="31">
        <v>45977</v>
      </c>
      <c r="B32" s="32" t="s">
        <v>39</v>
      </c>
      <c r="C32" s="26" t="s">
        <v>53</v>
      </c>
      <c r="D32" s="26" t="s">
        <v>2</v>
      </c>
      <c r="E32" s="26" t="s">
        <v>33</v>
      </c>
      <c r="F32" s="33">
        <v>0.70833333333333337</v>
      </c>
      <c r="G32" s="33">
        <v>0.77083333333333337</v>
      </c>
      <c r="H32" s="34">
        <f t="shared" si="0"/>
        <v>1.5</v>
      </c>
      <c r="I32" s="29" t="s">
        <v>32</v>
      </c>
      <c r="K32" s="3"/>
    </row>
    <row r="33" spans="1:11" x14ac:dyDescent="0.4">
      <c r="A33" s="31">
        <v>45978</v>
      </c>
      <c r="B33" s="32" t="s">
        <v>27</v>
      </c>
      <c r="C33" s="26" t="s">
        <v>53</v>
      </c>
      <c r="D33" s="26" t="s">
        <v>2</v>
      </c>
      <c r="E33" s="26" t="s">
        <v>33</v>
      </c>
      <c r="F33" s="33">
        <v>0.70833333333333337</v>
      </c>
      <c r="G33" s="33">
        <v>0.72916666666666663</v>
      </c>
      <c r="H33" s="34">
        <f t="shared" si="0"/>
        <v>0.49999999999999822</v>
      </c>
      <c r="I33" s="35" t="s">
        <v>32</v>
      </c>
      <c r="K33" s="3"/>
    </row>
    <row r="34" spans="1:11" x14ac:dyDescent="0.4">
      <c r="A34" s="31">
        <v>45979</v>
      </c>
      <c r="B34" s="32" t="s">
        <v>27</v>
      </c>
      <c r="C34" s="26" t="s">
        <v>53</v>
      </c>
      <c r="D34" s="26" t="s">
        <v>34</v>
      </c>
      <c r="E34" s="30" t="s">
        <v>36</v>
      </c>
      <c r="F34" s="33">
        <v>0.42708333333333331</v>
      </c>
      <c r="G34" s="33">
        <v>0.48958333333333331</v>
      </c>
      <c r="H34" s="34">
        <f t="shared" si="0"/>
        <v>1.5</v>
      </c>
      <c r="I34" s="35" t="s">
        <v>32</v>
      </c>
      <c r="K34" s="3"/>
    </row>
    <row r="35" spans="1:11" x14ac:dyDescent="0.4">
      <c r="A35" s="31">
        <v>45979</v>
      </c>
      <c r="B35" s="32" t="s">
        <v>27</v>
      </c>
      <c r="C35" s="26" t="s">
        <v>53</v>
      </c>
      <c r="D35" s="26" t="s">
        <v>2</v>
      </c>
      <c r="E35" s="26" t="s">
        <v>51</v>
      </c>
      <c r="F35" s="33">
        <v>0.6875</v>
      </c>
      <c r="G35" s="33">
        <v>0.75</v>
      </c>
      <c r="H35" s="34">
        <f t="shared" si="0"/>
        <v>1.5</v>
      </c>
      <c r="I35" s="35" t="s">
        <v>32</v>
      </c>
      <c r="K35" s="3"/>
    </row>
    <row r="36" spans="1:11" x14ac:dyDescent="0.4">
      <c r="A36" s="36">
        <v>45980</v>
      </c>
      <c r="B36" s="37" t="s">
        <v>26</v>
      </c>
      <c r="C36" s="26" t="s">
        <v>53</v>
      </c>
      <c r="D36" s="26" t="s">
        <v>2</v>
      </c>
      <c r="E36" s="26" t="s">
        <v>51</v>
      </c>
      <c r="F36" s="39">
        <v>0.4375</v>
      </c>
      <c r="G36" s="39">
        <v>0.58333333333333337</v>
      </c>
      <c r="H36" s="40">
        <f t="shared" ref="H36:H39" si="1">IF(AND(F36&lt;&gt;"",G36&lt;&gt;""),(G36-F36)*24,"")</f>
        <v>3.5000000000000009</v>
      </c>
      <c r="I36" s="35" t="s">
        <v>32</v>
      </c>
      <c r="K36" s="3"/>
    </row>
    <row r="37" spans="1:11" x14ac:dyDescent="0.4">
      <c r="A37" s="36">
        <v>45981</v>
      </c>
      <c r="B37" s="37" t="s">
        <v>20</v>
      </c>
      <c r="C37" s="26" t="s">
        <v>53</v>
      </c>
      <c r="D37" s="26" t="s">
        <v>2</v>
      </c>
      <c r="E37" s="26" t="s">
        <v>51</v>
      </c>
      <c r="F37" s="39">
        <v>0.5</v>
      </c>
      <c r="G37" s="39">
        <v>0.625</v>
      </c>
      <c r="H37" s="40">
        <f t="shared" si="1"/>
        <v>3</v>
      </c>
      <c r="I37" s="35" t="s">
        <v>32</v>
      </c>
      <c r="K37" s="3"/>
    </row>
    <row r="38" spans="1:11" x14ac:dyDescent="0.4">
      <c r="A38" s="36">
        <v>45981</v>
      </c>
      <c r="B38" s="37" t="s">
        <v>20</v>
      </c>
      <c r="C38" s="26" t="s">
        <v>53</v>
      </c>
      <c r="D38" s="26" t="s">
        <v>2</v>
      </c>
      <c r="E38" s="26" t="s">
        <v>51</v>
      </c>
      <c r="F38" s="39">
        <v>0.66666666666666663</v>
      </c>
      <c r="G38" s="39">
        <v>0.70833333333333337</v>
      </c>
      <c r="H38" s="40">
        <f t="shared" si="1"/>
        <v>1.0000000000000018</v>
      </c>
      <c r="I38" s="35" t="s">
        <v>32</v>
      </c>
      <c r="K38" s="3"/>
    </row>
    <row r="39" spans="1:11" x14ac:dyDescent="0.4">
      <c r="A39" s="36"/>
      <c r="B39" s="37"/>
      <c r="C39" s="38"/>
      <c r="D39" s="38"/>
      <c r="E39" s="38"/>
      <c r="F39" s="39"/>
      <c r="G39" s="39"/>
      <c r="H39" s="40" t="str">
        <f t="shared" si="1"/>
        <v/>
      </c>
      <c r="I39" s="35"/>
      <c r="K39" s="3"/>
    </row>
    <row r="40" spans="1:11" x14ac:dyDescent="0.4">
      <c r="A40" s="4"/>
      <c r="F40" s="2"/>
      <c r="G40" s="2"/>
      <c r="H40" s="3"/>
      <c r="K40" s="3"/>
    </row>
    <row r="41" spans="1:11" x14ac:dyDescent="0.4">
      <c r="A41" s="4"/>
      <c r="F41" s="2"/>
      <c r="G41" s="2"/>
      <c r="H41" s="3"/>
      <c r="K41" s="3"/>
    </row>
    <row r="42" spans="1:11" x14ac:dyDescent="0.4">
      <c r="A42" s="4"/>
      <c r="F42" s="2"/>
      <c r="G42" s="2"/>
      <c r="H42" s="3"/>
      <c r="K42" s="3"/>
    </row>
    <row r="43" spans="1:11" x14ac:dyDescent="0.4">
      <c r="A43" s="4"/>
      <c r="F43" s="2"/>
      <c r="G43" s="2"/>
      <c r="H43" s="3"/>
      <c r="K43" s="3"/>
    </row>
    <row r="44" spans="1:11" x14ac:dyDescent="0.4">
      <c r="A44" s="4"/>
      <c r="F44" s="2"/>
      <c r="G44" s="2"/>
      <c r="H44" s="3"/>
      <c r="K44" s="3"/>
    </row>
    <row r="45" spans="1:11" x14ac:dyDescent="0.4">
      <c r="A45" s="4"/>
      <c r="F45" s="2"/>
      <c r="G45" s="2"/>
      <c r="H45" s="3"/>
      <c r="K45" s="3"/>
    </row>
    <row r="46" spans="1:11" x14ac:dyDescent="0.4">
      <c r="A46" s="4"/>
      <c r="F46" s="2"/>
      <c r="G46" s="2"/>
      <c r="H46" s="3"/>
      <c r="K46" s="3"/>
    </row>
    <row r="47" spans="1:11" x14ac:dyDescent="0.4">
      <c r="A47" s="4"/>
      <c r="F47" s="2"/>
      <c r="G47" s="2"/>
      <c r="H47" s="3"/>
      <c r="K47" s="3"/>
    </row>
    <row r="48" spans="1:11" x14ac:dyDescent="0.4">
      <c r="A48" s="4"/>
      <c r="F48" s="2"/>
      <c r="G48" s="2"/>
      <c r="H48" s="3"/>
      <c r="K48" s="3"/>
    </row>
    <row r="49" spans="1:11" x14ac:dyDescent="0.4">
      <c r="A49" s="4"/>
      <c r="F49" s="2"/>
      <c r="G49" s="2"/>
      <c r="H49" s="3"/>
      <c r="K49" s="3"/>
    </row>
  </sheetData>
  <conditionalFormatting sqref="A2:E32 A33:B33 B34:B35 C33:E35 I2:I3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{668BA775-6D57-4D25-99EE-76F6FED3A43F}</x14:id>
        </ext>
      </extLst>
    </cfRule>
  </conditionalFormatting>
  <conditionalFormatting sqref="I34:I3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{FD1079DE-4818-4425-98BF-FD2C840F4EF7}</x14:id>
        </ext>
      </extLst>
    </cfRule>
  </conditionalFormatting>
  <conditionalFormatting sqref="A2:E39 I2:I3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{4AC43859-C033-4C9F-9BA8-7808F74A92E2}</x14:id>
        </ext>
      </extLst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:E3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{348C9639-07CA-409B-AC7A-0C9E7D62B3C6}</x14:id>
        </ext>
      </extLst>
    </cfRule>
  </conditionalFormatting>
  <dataValidations count="2">
    <dataValidation type="list" allowBlank="1" showInputMessage="1" showErrorMessage="1" sqref="D2:D39" xr:uid="{93865E9B-6446-4542-942D-F8D0D39B59D7}">
      <formula1>"Theorie (Video),Live-Call-Vorlesung,Selbststudium,Live-Call-Hausaufgaben"</formula1>
    </dataValidation>
    <dataValidation type="list" allowBlank="1" showInputMessage="1" showErrorMessage="1" sqref="C2:C39" xr:uid="{8C6B1380-6B63-4E2C-9031-9181DE75EE10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8BA775-6D57-4D25-99EE-76F6FED3A4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A2:E32 A33:B33 B34:B35 C33:E35 I2:I33</xm:sqref>
        </x14:conditionalFormatting>
        <x14:conditionalFormatting xmlns:xm="http://schemas.microsoft.com/office/excel/2006/main">
          <x14:cfRule type="dataBar" id="{FD1079DE-4818-4425-98BF-FD2C840F4E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I34:I36</xm:sqref>
        </x14:conditionalFormatting>
        <x14:conditionalFormatting xmlns:xm="http://schemas.microsoft.com/office/excel/2006/main">
          <x14:cfRule type="dataBar" id="{4AC43859-C033-4C9F-9BA8-7808F74A92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A2:E39 I2:I39</xm:sqref>
        </x14:conditionalFormatting>
        <x14:conditionalFormatting xmlns:xm="http://schemas.microsoft.com/office/excel/2006/main">
          <x14:cfRule type="dataBar" id="{348C9639-07CA-409B-AC7A-0C9E7D62B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E36:E38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D6F686-D53F-4E16-BE9A-89C912A65E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__lists__</vt:lpstr>
      <vt:lpstr>Januar</vt:lpstr>
      <vt:lpstr>Oktober</vt:lpstr>
      <vt:lpstr>Tabelle1</vt:lpstr>
      <vt:lpstr>November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evovtch</cp:lastModifiedBy>
  <cp:lastPrinted>2025-10-09T10:43:41Z</cp:lastPrinted>
  <dcterms:created xsi:type="dcterms:W3CDTF">2025-10-09T07:12:39Z</dcterms:created>
  <dcterms:modified xsi:type="dcterms:W3CDTF">2025-11-24T07:41:32Z</dcterms:modified>
</cp:coreProperties>
</file>